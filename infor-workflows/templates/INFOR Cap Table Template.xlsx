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inforfg1-my.sharepoint.com/personal/twilson_inforfg_com/Documents/Desktop/"/>
    </mc:Choice>
  </mc:AlternateContent>
  <xr:revisionPtr revIDLastSave="151" documentId="13_ncr:1_{30C6EFFA-4D5C-4E44-9B68-CEAB259F3D95}" xr6:coauthVersionLast="47" xr6:coauthVersionMax="47" xr10:uidLastSave="{77F4C14A-FD65-4163-B92A-E6D3C1110A0F}"/>
  <bookViews>
    <workbookView xWindow="28680" yWindow="-120" windowWidth="29040" windowHeight="15720" firstSheet="1" activeTab="1" xr2:uid="{00000000-000D-0000-FFFF-FFFF00000000}"/>
  </bookViews>
  <sheets>
    <sheet name="__snloffice" sheetId="8" state="veryHidden" r:id="rId1"/>
    <sheet name="Cap with Links" sheetId="7" r:id="rId2"/>
  </sheets>
  <definedNames>
    <definedName name="CAD_USD">'Cap with Links'!#REF!</definedName>
    <definedName name="CIQWBGuid" hidden="1">"45a006a7-c443-4050-b795-5abd089b75e8"</definedName>
    <definedName name="CIQWBInfo" hidden="1">"{ ""CIQVersion"":""9.51.3510.3078""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45694.5691319444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'Cap with Links'!$A$1:$T$138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7" l="1" a="1"/>
  <c r="F2" i="7"/>
  <c r="F6" i="7" l="1"/>
  <c r="F43" i="7" a="1"/>
  <c r="F48" i="7" a="1"/>
  <c r="D48" i="7" a="1"/>
  <c r="E47" i="7" a="1"/>
  <c r="D47" i="7" a="1"/>
  <c r="F16" i="7" a="1"/>
  <c r="F4" i="7" a="1"/>
  <c r="E48" i="7" a="1"/>
  <c r="F47" i="7" a="1"/>
  <c r="F4" i="7" l="1"/>
  <c r="F16" i="7"/>
  <c r="F43" i="7"/>
  <c r="D47" i="7"/>
  <c r="E47" i="7"/>
  <c r="F47" i="7"/>
  <c r="D48" i="7"/>
  <c r="E48" i="7"/>
  <c r="F48" i="7"/>
  <c r="B13" i="7"/>
  <c r="F15" i="7"/>
  <c r="B16" i="7"/>
  <c r="F137" i="7"/>
  <c r="F17" i="7" s="1"/>
  <c r="B19" i="7"/>
  <c r="F99" i="7"/>
  <c r="F111" i="7"/>
  <c r="F123" i="7"/>
  <c r="F44" i="7" a="1"/>
  <c r="F7" i="7" a="1"/>
  <c r="F7" i="7" l="1"/>
  <c r="F30" i="7" s="1"/>
  <c r="F44" i="7"/>
  <c r="F35" i="7"/>
  <c r="F29" i="7" l="1"/>
  <c r="F27" i="7"/>
  <c r="F26" i="7"/>
  <c r="F25" i="7"/>
  <c r="F24" i="7"/>
  <c r="D35" i="7"/>
  <c r="D34" i="7"/>
  <c r="E35" i="7"/>
  <c r="F34" i="7"/>
  <c r="F36" i="7" s="1"/>
  <c r="E34" i="7"/>
  <c r="F18" i="7"/>
  <c r="E69" i="7"/>
  <c r="F69" i="7" s="1"/>
  <c r="E65" i="7"/>
  <c r="F65" i="7" s="1"/>
  <c r="E58" i="7"/>
  <c r="F58" i="7" s="1"/>
  <c r="E61" i="7"/>
  <c r="F61" i="7" s="1"/>
  <c r="F86" i="7"/>
  <c r="E63" i="7"/>
  <c r="F63" i="7" s="1"/>
  <c r="E71" i="7"/>
  <c r="F71" i="7" s="1"/>
  <c r="E72" i="7"/>
  <c r="F72" i="7" s="1"/>
  <c r="F83" i="7"/>
  <c r="E62" i="7"/>
  <c r="F62" i="7" s="1"/>
  <c r="F28" i="7" l="1"/>
  <c r="E36" i="7"/>
  <c r="D36" i="7"/>
  <c r="E64" i="7"/>
  <c r="F64" i="7" s="1"/>
  <c r="F84" i="7"/>
  <c r="F82" i="7"/>
  <c r="E70" i="7"/>
  <c r="F70" i="7" s="1"/>
  <c r="E60" i="7"/>
  <c r="F60" i="7" s="1"/>
  <c r="E67" i="7"/>
  <c r="F67" i="7" s="1"/>
  <c r="E57" i="7"/>
  <c r="F57" i="7" s="1"/>
  <c r="E66" i="7"/>
  <c r="F66" i="7" s="1"/>
  <c r="F45" i="7"/>
  <c r="F85" i="7"/>
  <c r="F81" i="7"/>
  <c r="E59" i="7"/>
  <c r="F59" i="7" s="1"/>
  <c r="E68" i="7"/>
  <c r="F68" i="7" s="1"/>
  <c r="F87" i="7" l="1"/>
  <c r="F20" i="7" s="1"/>
  <c r="E73" i="7"/>
  <c r="F75" i="7" s="1"/>
  <c r="F73" i="7"/>
  <c r="F76" i="7" l="1"/>
  <c r="F77" i="7" s="1"/>
  <c r="F19" i="7" s="1"/>
  <c r="F21" i="7" s="1"/>
  <c r="F22" i="7" s="1"/>
  <c r="F31" i="7" s="1"/>
  <c r="E40" i="7" l="1"/>
  <c r="F40" i="7"/>
  <c r="D39" i="7"/>
  <c r="F39" i="7"/>
  <c r="D40" i="7"/>
  <c r="E39"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<sst xmlns="http://schemas.openxmlformats.org/spreadsheetml/2006/main" count="90" uniqueCount="65">
  <si>
    <t>Date</t>
  </si>
  <si>
    <t>Name:</t>
  </si>
  <si>
    <t>Date:</t>
  </si>
  <si>
    <t>Company Ticker:</t>
  </si>
  <si>
    <t>Basic Shares Outstanding</t>
  </si>
  <si>
    <t>Basic Market Cap</t>
  </si>
  <si>
    <t>ITM Convertible Debentures</t>
  </si>
  <si>
    <t>Less: Cash</t>
  </si>
  <si>
    <t>Net Debt</t>
  </si>
  <si>
    <t>Type</t>
  </si>
  <si>
    <t>Amount</t>
  </si>
  <si>
    <t>Strike</t>
  </si>
  <si>
    <t>ITM</t>
  </si>
  <si>
    <t>Proceeds</t>
  </si>
  <si>
    <t>Total</t>
  </si>
  <si>
    <t>Total ITM Options, Warrants, etc.</t>
  </si>
  <si>
    <t>Less: Total Repurchased and Cancelled</t>
  </si>
  <si>
    <t>Net ITM Options, Warrants, etc.</t>
  </si>
  <si>
    <t>Total ITM Convertible Debentures &amp; Preferreds</t>
  </si>
  <si>
    <t>IV. DEBT</t>
  </si>
  <si>
    <t>Total Debt</t>
  </si>
  <si>
    <t>Total Cash</t>
  </si>
  <si>
    <t>Description</t>
  </si>
  <si>
    <t>Total Basic Shares Outstanding</t>
  </si>
  <si>
    <t>Enterprise Value</t>
  </si>
  <si>
    <t>Non-Controlling Interest</t>
  </si>
  <si>
    <t>Preferred Shares</t>
  </si>
  <si>
    <t>Add: Debt</t>
  </si>
  <si>
    <t>Fully-Diluted Market Cap</t>
  </si>
  <si>
    <t>Fully-Diluted Shares Outstanding</t>
  </si>
  <si>
    <t>Valuation Metrics</t>
  </si>
  <si>
    <t>Revenue</t>
  </si>
  <si>
    <t>EV / Revenue</t>
  </si>
  <si>
    <t>Street Metrics</t>
  </si>
  <si>
    <t>Analyst Coverage (# of Analysts)</t>
  </si>
  <si>
    <t>Average Target Price</t>
  </si>
  <si>
    <t>% Upside vs. Current</t>
  </si>
  <si>
    <t>II. ITM OPTIONS, WARRANTS, RSUs, DSUs</t>
  </si>
  <si>
    <t>Treasury Stock</t>
  </si>
  <si>
    <t>V. LEASES</t>
  </si>
  <si>
    <t>VI. CASH</t>
  </si>
  <si>
    <t>VII. BASIC SHARES OUTSTANDING</t>
  </si>
  <si>
    <t>Add: Leases</t>
  </si>
  <si>
    <t>Less: Cash from ITM Proceeds</t>
  </si>
  <si>
    <t>Adj. EBITDA</t>
  </si>
  <si>
    <t>EV / Adj. EBITDA</t>
  </si>
  <si>
    <t>Adj. EBITDA Margin</t>
  </si>
  <si>
    <t>III. ITM CONVERTIBLE DEBENTURES OR CONVERTIBLE PREFERRED SHARES</t>
  </si>
  <si>
    <t>CY2026</t>
  </si>
  <si>
    <t>CY2027</t>
  </si>
  <si>
    <t>LTM</t>
  </si>
  <si>
    <t>CAD</t>
  </si>
  <si>
    <t>I. Non-Controlling Interest &amp; Preferred Shares</t>
  </si>
  <si>
    <t>Shares / $1,000</t>
  </si>
  <si>
    <t>ON</t>
  </si>
  <si>
    <t>FX Rate:</t>
  </si>
  <si>
    <t>Ticker:</t>
  </si>
  <si>
    <t>Input Currency:</t>
  </si>
  <si>
    <t>Output Currency:</t>
  </si>
  <si>
    <t>Lease Toggle:</t>
  </si>
  <si>
    <t>Dilutives Method:</t>
  </si>
  <si>
    <t>Toggles</t>
  </si>
  <si>
    <t>Financial Metrics</t>
  </si>
  <si>
    <t xml:space="preserve"> </t>
  </si>
  <si>
    <t>允䅁䑁䅧䅁慁䅁䅁睔睂䡁䅑兡療䝁䄴督㙁䕁䄴兑㥁䑁䅁䅁汁䅁䅁䅅䅁䍁䅑睑䉂䕁䅑兖呂䕁䅑䅁䅁䅁䅁杈䅁䙁䅍䅕時䙁䅁杕䩂䕁䅍兒時䕁䅍䅔偂䙁䅍兒䅁䅁䅍䅁捁䅁䅁睔睂䡁䅑兡療䝁䄴督㙁䍁䅁杔䉂䑁䄰䅍䅁䅁䅑䅁䍁䅁䅁䅁剁䅁䅁䅏䅁䍁䅍兓佂䙁䅙兑䵂䕁䅫䅒杁䕁䅙兖佂䕁䅍䅖䩂䕁䄸杔杁䙁䅁兑卂䕁䅅兔䙂䙁䅑兒卂䅁䅁睄䅁䕁䅧䅁偂䡁䅁䅤灂䝁䄸杢穂䑁䅯兔桂䝁䅣児乂䝁䅫䅢獂䝁䅫睢畂䡁䅍䅌佂䕁䅅児佂䕁䅅䅌䑂䡁䅕杣祂䑁䄰兖呂䕁䅑䅁潁䅁䅁䅅䅁䕁䅙兕ぁ䑁䅉䅍祁䑁䅑䅁十䅁䅁杄䅁䕁䅍兗祁䑁䅁杍ㅁ䅁䅁睈䅁䅁䅧䅁䝂䙁䅅䅍䅁䅁䄰䅁佁䅁䅁睑婂䑁䅉䅍祁䑁䅙䅁楁䅁䅁䅅䅁䙁䅑睕奂䑁䅯兒䑂䕁䄴䅁煁䅁䅁杅䅁䕁䄴兗呂䕁䅕杏䩂䕁䅉兔䅁䉁䅍䅁佁䅁䅁睑婂䑁䅉䅍祁䑁䅣䅁桁䅁䅁䅉䅁䙁䅍䅕時䕁䅍睔乂䙁䅁兑佂䙁䅫睘佂䕁䅅兔䙂䅁䅁睂䅁䉁䅁䅁䝂䙁䅅免祁䑁䅁杍ㅁ䅁䅁䅅䅁䉁䅉䅁啂䙁䅍䅗㙁䕁䄸䅖䙂䙁䅧䅁牁䅁䅁䅅䅁䕁䅙兕祁䑁䅉䅍祁䑁䅕䅁橁䅁䅁杂䅁䕁䄴兑䅁䅁䅉䅁䥁䅁䅁杒婂䑁䅁䅁䭁䅁䅁䅈䅁䕁䅫兕時䕁䅅村呂䙁䄸䅕䙂䙁䅉兓偂䕁䅑䅁歁䅁䅁杌䅁䕁䅫兕時䕁䅍兖卂䙁䅉兒佂䕁䅍兗時䕁䅙兓佂䕁䅅杔䑂䕁䅫兑䵂䙁䅍䅁䱁䅁䅁杈䅁䙁䅍䅕時䕁䄴兖乂䙁䄸䅔偂䙁䅣睘卂䕁䅕睑䅁䉁䅯䅁流䅁䅁睕兂䙁䄸杔噂䕁䄰睘䥂䕁䅫睒䥂䕁䅕睕啂䙁䄸杕䙂䕁䅍䅁塁䅁䅁䅈䅁䕁䅫兕時䙁䅁兒卂䕁䅫睔䕂䙁䄸兒佂䕁䅑䅁䩁䅁䅁䅎䅁䕁䅫兕時䕁䅕睕啂䙁䄸杔䙂䙁䅧䅖時䕁䅕兑卂䕁䄴兓佂䕁䅣睕時䕁䅑兑啂䕁䅕䅁睁䅁䅁䅗䅁䕁䅫杢あ䝁䅕杣畂䝁䅅䅤灂䝁䄸杢桂䝁䅷䅉䍂䡁䅕督灂䝁䄴党穂䡁䅍䅉乂䝁䅅睙潂䝁䅫杢求䡁䅍䅉䑂䝁䄸杣睂䝁䄸杣桂䡁䅑兡療䝁䄴䅁湁䅁䅁杇䅁䕁䄴兑呂䕁䅑兑剂䕁䅍兔㙁䙁䅁村乂䅁䅁杂䅁䉁䄴䅁偂䡁䅁䅤灂䝁䄸杢穂䑁䅯䅉佂䕁䅅児佂䕁䅅䅁䙁䅁䅁䅌䅁䕁䅫兕時䕁䄴兒奂䙁䅑睘䙂䕁䅅杕佂䕁䅫杔䡂䙁䅍睘䕂䕁䅅䅖䙂䅁䅁兌䅁䑁䅁䅁偂䡁䅁䅤灂䝁䄸杢穂䑁䅯䅉佂䕁䅅児佂䕁䅅䅌䑂䙁䅕杕卂䑁䄰兖呂䕁䅑䅁摁䅁䅁䅍䅁䕁䄸䅣あ䝁䅫睢畂䡁䅍杏杁䕁䄴兑㥁䕁䄴兑獁䕁䅍兤祂䡁䅉児噂䙁䅍䅒䅁䉁䅑䅁奁䅁䅁睔睂䡁䅑兡療䝁䄴督㙁䕁䄴兑㥁䅁䅁杊䅁䍁䅧䅁橁䕁䅫杔坂䕁䅅䅔䩂䕁䅑䅉䑂䕁䄸兔兂䕁䅅杔婂䍁䅁兓䕂䅁䅁兎䅁䍁䅁䅁呂䙁䅁睘兂䙁䅉兓䑂䕁䅕睘啂䕁䅅杕䡂䕁䅕䅖䅁䉁䅷䅁捁䅁䅁睔睂䡁䅑兡療䝁䄴督㙁䕁䄴兑㥁䕁䄴兑䅁䉁䅙䅁䥁䅁䅁兖呂䕁䅑䅁䵁䅁䅁杌䅁䕁䄸䅣あ䝁䅫睢畂䡁䅍杏佂䕁䅅児佂䕁䅅䅌䑂䡁䅕杣祂䑁䄰兖呂䕁䅑䅁灁䅁䅁䅍䅁䙁䅁督㕂䝁䅕杢橂䝁䅕䅉䍂䝁䅫睢瑂䝁䅕䅚灂䝁䅍兙獂䍁䅁䅔あ䝁䅑杌䅁䅁䅧䅁杁䅁䅁睕兂䙁䄸杔噂䕁䄰睘䥂䕁䅫睒䥂䙁䄸杕䙂䕁䅍䅁奁䅁䅁䅎䅁䙁䅍䅕時䕁䅕兑卂䕁䄴兓佂䕁䅣睕時䕁䅅杔佂䕁䄸兖佂䕁䅍兒時䕁䅑兑啂䕁䅕䅁佁䅁䅁䅈䅁䙁䅍䅕時䕁䅕村䩂䙁䅑䅒䉂䙁䄸兒呂䙁䅑䅁杁䅁䅁杉䅁䙁䅍䅕時䕁䅷兑呂䙁䅑睕䉂䕁䅷兒兂䙁䅉兓䑂䕁䅕䅁䉁䅁䅁䅊䅁䙁䅍䅕時䕁䄴兖乂䙁䄸村卂䕁䄸睓䙂䙁䅉睘卂䕁䅕睑䅁䉁䅕䅁歁䅁䅁睕兂䙁䄸杔噂䕁䄰睘䵂䕁䄸睖䙂䙁䅍䅖時䙁䅉兒䑂䅁䅁睇䅁䍁䅙䅁呂䙁䅁睘佂䙁䅕兔時䕁䄴兒噂䙁䅑杕䉂䕁䅷睘卂䕁䅕睑䅁䉁䅫䅁坁䅁䅁睕兂䙁䄸杕䙂䙁䅙睘䙂䙁䅍䅖䅁䉁䄴䅁獁䅁䅁睔睂䝁䅕杢杁䙁䅑党㑂䡁䅑䅉䑂䝁䄸杣睂䝁䄸杣桂䡁䅑兡療䝁䄴䅁獁䅁䅁杆䅁䑁䅅免癁䑁䅅睍癁䑁䅉䅍祁䑁䅕䅁癁䅁䅁䅎䅁䕁䅫兕時䕁䅕兑卂䕁䄴兓佂䕁䅣睕時䕁䅅杔佂䕁䄸兖佂䕁䅍兒時䕁䅑兑啂䕁䅕䅁畁䅁䅁杄䅁䕁䅫兕時䙁䅉兒坂䅁䅁免䅁䅁䅧䅁䵂䙁䅑兔䅁䑁䅉䅁啁䅁䅁睕兂䙁䄸兒䍂䕁䅫䅖䕂䕁䅅䅁穁䅁䅁䅅䅁䍁䅑睑䉂䕁䅑睑䉂䕁䅑䅁ぁ䅁䅁杌䅁䕁䄸䅣あ䝁䅫睢畂䡁䅍杏佂䕁䅅児佂䕁䅅䅌䑂䡁䅕杣祂䑁䄰睑䉂䕁䅑䅁㉁䅁䅁䅓䅁䕁䄸䅣あ䝁䅫睢畂䡁䅍杏乂䝁䅅睚㥁䕁䄰兡獂䝁䅷兡療䝁䄴督獁䕁䄴兑㥁䕁䄴兑獁䕁䅍兤祂䡁䅉児䑂䕁䅅䅒䅁䑁䅣䅁䅁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</si>
</sst>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quot;$&quot;#,##0.00_);\(&quot;$&quot;#,##0.00\);&quot;-- &quot;"/>
    <numFmt numFmtId="165" formatCode="#,##0.0000_);\(#,##0.0000\);&quot;-- &quot;"/>
    <numFmt numFmtId="166" formatCode="#,##0.0_);\(#,##0.0\);&quot;-- &quot;"/>
    <numFmt numFmtId="167" formatCode="&quot;$&quot;#,##0.0_);\(&quot;$&quot;#,##0.0\);&quot;-- &quot;"/>
    <numFmt numFmtId="168" formatCode="&quot;$&quot;#,##0.00"/>
    <numFmt numFmtId="169" formatCode="&quot;$&quot;#,##0.0_);\(&quot;$&quot;#,##0.0\);\-\-_);&quot;--&quot;_)"/>
    <numFmt numFmtId="170" formatCode="0.0\x_);\(0.0\x\);&quot;-- &quot;"/>
    <numFmt numFmtId="171" formatCode="&quot;$&quot;#,##0.0"/>
    <numFmt numFmtId="172" formatCode="0.0"/>
    <numFmt numFmtId="173" formatCode="#,##0.0"/>
    <numFmt numFmtId="174" formatCode="[$-1009]d\-mmm\-yy;@"/>
    <numFmt numFmtId="175" formatCode="0.0%_);\(0.0%\);&quot;-- &quot;"/>
    <numFmt numFmtId="176" formatCode=";;;@&quot;E&quot;"/>
    <numFmt numFmtId="177" formatCode="#,##0\ &quot;Analysts&quot;_);\(#,##0\);\-\-_)"/>
    <numFmt numFmtId="178" formatCode="#,##0.0%_);\(#,##0.0%\);&quot;--&quot;"/>
    <numFmt numFmtId="179" formatCode="#,##0.000000"/>
    <numFmt numFmtId="180" formatCode=";;;@"/>
    <numFmt numFmtId="181" formatCode="&quot;$&quot;#,##0.0_);\(&quot;$&quot;#,##0.0\);&quot;--&quot;"/>
    <numFmt numFmtId="182" formatCode="&quot;$&quot;#,##0.00_);\(&quot;$&quot;#,##0.00\);&quot;--&quot;"/>
    <numFmt numFmtId="183" formatCode="#,##0.0000\x_);\(#,##0.0000\x\);&quot;--&quot;"/>
  </numFmts>
  <fonts count="25" x14ac:knownFonts="1">
    <font>
      <sz val="11"/>
      <color theme="1"/>
      <name val="Calibri"/>
      <family val="2"/>
      <scheme val="minor"/>
    </font>
    <font>
      <sz val="11"/>
      <color theme="1"/>
      <name val="Calibri"/>
      <family val="2"/>
      <scheme val="minor"/>
    </font>
    <font>
      <sz val="9"/>
      <color theme="1"/>
      <name val="Arial"/>
      <family val="2"/>
    </font>
    <font>
      <sz val="9"/>
      <color rgb="FF0000FF"/>
      <name val="Palatino Linotype"/>
      <family val="1"/>
    </font>
    <font>
      <sz val="9"/>
      <color theme="1"/>
      <name val="Palatino Linotype"/>
      <family val="1"/>
    </font>
    <font>
      <sz val="9"/>
      <color theme="1"/>
      <name val="Calibri"/>
      <family val="2"/>
      <scheme val="minor"/>
    </font>
    <font>
      <b/>
      <sz val="9"/>
      <color theme="1"/>
      <name val="Palatino Linotype"/>
      <family val="1"/>
    </font>
    <font>
      <sz val="9"/>
      <name val="Palatino Linotype"/>
      <family val="1"/>
    </font>
    <font>
      <b/>
      <sz val="11"/>
      <color indexed="9"/>
      <name val="Calibri"/>
      <family val="2"/>
    </font>
    <font>
      <i/>
      <sz val="9"/>
      <color theme="1"/>
      <name val="Palatino Linotype"/>
      <family val="1"/>
    </font>
    <font>
      <i/>
      <sz val="9"/>
      <name val="Palatino Linotype"/>
      <family val="1"/>
    </font>
    <font>
      <sz val="9"/>
      <color rgb="FF000000"/>
      <name val="Palatino Linotype"/>
      <family val="1"/>
    </font>
    <font>
      <i/>
      <sz val="9"/>
      <color theme="1"/>
      <name val="Calibri"/>
      <family val="2"/>
      <scheme val="minor"/>
    </font>
    <font>
      <sz val="9"/>
      <color rgb="FF008000"/>
      <name val="Palatino Linotype"/>
      <family val="1"/>
    </font>
    <font>
      <b/>
      <i/>
      <sz val="9"/>
      <color theme="1"/>
      <name val="Palatino Linotype"/>
      <family val="1"/>
    </font>
    <font>
      <sz val="11"/>
      <color rgb="FF000000"/>
      <name val="Calibri"/>
      <family val="2"/>
    </font>
    <font>
      <b/>
      <sz val="9"/>
      <color rgb="FF000000"/>
      <name val="Palatino Linotype"/>
      <family val="1"/>
    </font>
    <font>
      <sz val="9"/>
      <color rgb="FF800080"/>
      <name val="Palatino Linotype"/>
      <family val="1"/>
    </font>
    <font>
      <b/>
      <u val="singleAccounting"/>
      <sz val="9"/>
      <color theme="1"/>
      <name val="Palatino Linotype"/>
      <family val="1"/>
    </font>
    <font>
      <sz val="9"/>
      <color rgb="FFFF0000"/>
      <name val="Palatino Linotype"/>
      <family val="1"/>
    </font>
    <font>
      <b/>
      <sz val="9"/>
      <color rgb="FFFF0000"/>
      <name val="Palatino Linotype"/>
      <family val="1"/>
    </font>
    <font>
      <i/>
      <sz val="9"/>
      <color rgb="FF000000"/>
      <name val="Palatino Linotype"/>
      <family val="1"/>
    </font>
    <font>
      <b/>
      <sz val="9"/>
      <color theme="0"/>
      <name val="Palatino Linotype"/>
      <family val="1"/>
    </font>
    <font>
      <b/>
      <u val="singleAccounting"/>
      <sz val="9"/>
      <color theme="0"/>
      <name val="Palatino Linotype"/>
      <family val="1"/>
    </font>
    <font>
      <b/>
      <sz val="9"/>
      <color rgb="FFFFFFFF"/>
      <name val="Palatino Linotype"/>
      <family val="1"/>
    </font>
  </fonts>
  <fills count="10">
    <fill>
      <patternFill patternType="none"/>
    </fill>
    <fill>
      <patternFill patternType="gray125"/>
    </fill>
    <fill>
      <patternFill patternType="solid">
        <fgColor rgb="FFFFFFCC"/>
        <bgColor indexed="64"/>
      </patternFill>
    </fill>
    <fill>
      <patternFill patternType="solid">
        <fgColor rgb="FFFFFFCC"/>
        <bgColor rgb="FF000000"/>
      </patternFill>
    </fill>
    <fill>
      <patternFill patternType="solid">
        <fgColor rgb="FF4F81BD"/>
        <bgColor indexed="64"/>
      </patternFill>
    </fill>
    <fill>
      <patternFill patternType="solid">
        <fgColor rgb="FFFFFFCC"/>
      </patternFill>
    </fill>
    <fill>
      <patternFill patternType="solid">
        <fgColor theme="1"/>
        <bgColor indexed="64"/>
      </patternFill>
    </fill>
    <fill>
      <patternFill patternType="solid">
        <fgColor rgb="FF000000"/>
        <bgColor rgb="FF000000"/>
      </patternFill>
    </fill>
    <fill>
      <patternFill patternType="solid">
        <fgColor theme="9"/>
        <bgColor indexed="64"/>
      </patternFill>
    </fill>
    <fill>
      <patternFill patternType="solid">
        <fgColor rgb="FFE5E3E3"/>
        <bgColor rgb="FF000000"/>
      </patternFill>
    </fill>
  </fills>
  <borders count="21">
    <border>
      <left/>
      <right/>
      <top/>
      <bottom/>
      <diagonal/>
    </border>
    <border>
      <left/>
      <right/>
      <top style="thin">
        <color indexed="64"/>
      </top>
      <bottom/>
      <diagonal/>
    </border>
    <border>
      <left/>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bottom style="thin">
        <color auto="1"/>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style="medium">
        <color indexed="64"/>
      </top>
      <bottom/>
      <diagonal/>
    </border>
    <border>
      <left/>
      <right/>
      <top style="medium">
        <color indexed="64"/>
      </top>
      <bottom style="thin">
        <color rgb="FF000000"/>
      </bottom>
      <diagonal/>
    </border>
    <border>
      <left/>
      <right/>
      <top style="medium">
        <color rgb="FF000000"/>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hair">
        <color rgb="FF000000"/>
      </bottom>
      <diagonal/>
    </border>
    <border>
      <left/>
      <right/>
      <top/>
      <bottom style="hair">
        <color rgb="FF000000"/>
      </bottom>
      <diagonal/>
    </border>
    <border>
      <left/>
      <right style="medium">
        <color rgb="FF000000"/>
      </right>
      <top style="hair">
        <color rgb="FF000000"/>
      </top>
      <bottom/>
      <diagonal/>
    </border>
    <border>
      <left/>
      <right/>
      <top style="thin">
        <color rgb="FF000000"/>
      </top>
      <bottom style="thin">
        <color rgb="FF000000"/>
      </bottom>
      <diagonal/>
    </border>
  </borders>
  <cellStyleXfs count="7">
    <xf numFmtId="0" fontId="0" fillId="0" borderId="0"/>
    <xf numFmtId="0" fontId="1" fillId="0" borderId="0"/>
    <xf numFmtId="0" fontId="2" fillId="0" borderId="0"/>
    <xf numFmtId="0" fontId="8" fillId="4" borderId="0"/>
    <xf numFmtId="0" fontId="15" fillId="0" borderId="0" applyNumberFormat="0" applyBorder="0" applyAlignment="0"/>
    <xf numFmtId="0" fontId="1" fillId="0" borderId="0"/>
    <xf numFmtId="0" fontId="1" fillId="5" borderId="7" applyNumberFormat="0" applyFont="0" applyAlignment="0" applyProtection="0"/>
  </cellStyleXfs>
  <cellXfs count="132">
    <xf numFmtId="0" fontId="0" fillId="0" borderId="0" xfId="0"/>
    <xf numFmtId="0" fontId="4" fillId="0" borderId="0" xfId="0" applyFont="1"/>
    <xf numFmtId="0" fontId="4" fillId="0" borderId="0" xfId="1" applyFont="1"/>
    <xf numFmtId="0" fontId="5" fillId="0" borderId="0" xfId="0" applyFont="1"/>
    <xf numFmtId="0" fontId="4" fillId="0" borderId="0" xfId="2" applyFont="1"/>
    <xf numFmtId="0" fontId="9" fillId="0" borderId="0" xfId="2" applyFont="1" applyAlignment="1">
      <alignment horizontal="center"/>
    </xf>
    <xf numFmtId="0" fontId="4" fillId="0" borderId="0" xfId="2" applyFont="1" applyAlignment="1">
      <alignment horizontal="right"/>
    </xf>
    <xf numFmtId="15" fontId="3" fillId="0" borderId="0" xfId="2" applyNumberFormat="1" applyFont="1" applyAlignment="1">
      <alignment horizontal="right"/>
    </xf>
    <xf numFmtId="0" fontId="10" fillId="0" borderId="0" xfId="0" applyFont="1" applyAlignment="1">
      <alignment horizontal="right"/>
    </xf>
    <xf numFmtId="0" fontId="6" fillId="0" borderId="0" xfId="2" quotePrefix="1" applyFont="1"/>
    <xf numFmtId="0" fontId="6" fillId="0" borderId="0" xfId="2" applyFont="1"/>
    <xf numFmtId="0" fontId="6" fillId="0" borderId="0" xfId="2" applyFont="1" applyAlignment="1">
      <alignment horizontal="right"/>
    </xf>
    <xf numFmtId="0" fontId="4" fillId="0" borderId="0" xfId="2" applyFont="1" applyAlignment="1">
      <alignment horizontal="left" indent="1"/>
    </xf>
    <xf numFmtId="0" fontId="4" fillId="0" borderId="0" xfId="2" applyFont="1" applyAlignment="1">
      <alignment horizontal="right" indent="1"/>
    </xf>
    <xf numFmtId="0" fontId="4" fillId="0" borderId="3" xfId="2" applyFont="1" applyBorder="1"/>
    <xf numFmtId="0" fontId="12" fillId="0" borderId="0" xfId="0" applyFont="1" applyAlignment="1">
      <alignment horizontal="center"/>
    </xf>
    <xf numFmtId="0" fontId="6" fillId="0" borderId="4" xfId="2" applyFont="1" applyBorder="1"/>
    <xf numFmtId="0" fontId="4" fillId="0" borderId="5" xfId="2" applyFont="1" applyBorder="1"/>
    <xf numFmtId="0" fontId="7" fillId="0" borderId="0" xfId="1" applyFont="1"/>
    <xf numFmtId="166" fontId="11" fillId="0" borderId="0" xfId="0" applyNumberFormat="1" applyFont="1" applyAlignment="1">
      <alignment horizontal="right"/>
    </xf>
    <xf numFmtId="0" fontId="7" fillId="0" borderId="5" xfId="1" applyFont="1" applyBorder="1"/>
    <xf numFmtId="166" fontId="11" fillId="0" borderId="5" xfId="0" applyNumberFormat="1" applyFont="1" applyBorder="1" applyAlignment="1">
      <alignment horizontal="right"/>
    </xf>
    <xf numFmtId="167" fontId="13" fillId="0" borderId="0" xfId="2" applyNumberFormat="1" applyFont="1" applyAlignment="1">
      <alignment horizontal="right" indent="1"/>
    </xf>
    <xf numFmtId="170" fontId="4" fillId="0" borderId="0" xfId="2" applyNumberFormat="1" applyFont="1" applyAlignment="1">
      <alignment horizontal="right" indent="1"/>
    </xf>
    <xf numFmtId="0" fontId="3" fillId="2" borderId="0" xfId="2" applyFont="1" applyFill="1"/>
    <xf numFmtId="172" fontId="3" fillId="2" borderId="0" xfId="2" applyNumberFormat="1" applyFont="1" applyFill="1"/>
    <xf numFmtId="168" fontId="3" fillId="2" borderId="0" xfId="2" applyNumberFormat="1" applyFont="1" applyFill="1"/>
    <xf numFmtId="0" fontId="6" fillId="0" borderId="1" xfId="2" applyFont="1" applyBorder="1"/>
    <xf numFmtId="0" fontId="14" fillId="0" borderId="0" xfId="2" applyFont="1" applyAlignment="1">
      <alignment horizontal="center"/>
    </xf>
    <xf numFmtId="171" fontId="3" fillId="2" borderId="0" xfId="2" applyNumberFormat="1" applyFont="1" applyFill="1" applyAlignment="1">
      <alignment horizontal="right"/>
    </xf>
    <xf numFmtId="173" fontId="3" fillId="2" borderId="0" xfId="2" applyNumberFormat="1" applyFont="1" applyFill="1" applyAlignment="1">
      <alignment horizontal="right"/>
    </xf>
    <xf numFmtId="174" fontId="3" fillId="2" borderId="0" xfId="2" applyNumberFormat="1" applyFont="1" applyFill="1" applyAlignment="1">
      <alignment horizontal="right"/>
    </xf>
    <xf numFmtId="168" fontId="3" fillId="2" borderId="0" xfId="2" applyNumberFormat="1" applyFont="1" applyFill="1" applyAlignment="1">
      <alignment horizontal="right"/>
    </xf>
    <xf numFmtId="0" fontId="3" fillId="2" borderId="0" xfId="0" applyFont="1" applyFill="1"/>
    <xf numFmtId="171" fontId="3" fillId="2" borderId="0" xfId="0" applyNumberFormat="1" applyFont="1" applyFill="1" applyAlignment="1">
      <alignment horizontal="right"/>
    </xf>
    <xf numFmtId="173" fontId="3" fillId="2" borderId="0" xfId="0" applyNumberFormat="1" applyFont="1" applyFill="1" applyAlignment="1">
      <alignment horizontal="right"/>
    </xf>
    <xf numFmtId="15" fontId="3" fillId="2" borderId="0" xfId="0" applyNumberFormat="1" applyFont="1" applyFill="1" applyAlignment="1">
      <alignment horizontal="right"/>
    </xf>
    <xf numFmtId="166" fontId="3" fillId="3" borderId="0" xfId="0" applyNumberFormat="1" applyFont="1" applyFill="1" applyAlignment="1">
      <alignment horizontal="right"/>
    </xf>
    <xf numFmtId="0" fontId="6" fillId="0" borderId="1" xfId="0" applyFont="1" applyBorder="1"/>
    <xf numFmtId="0" fontId="6" fillId="0" borderId="0" xfId="0" applyFont="1"/>
    <xf numFmtId="166" fontId="6" fillId="0" borderId="0" xfId="0" applyNumberFormat="1" applyFont="1" applyAlignment="1">
      <alignment horizontal="right"/>
    </xf>
    <xf numFmtId="173" fontId="3" fillId="0" borderId="0" xfId="0" applyNumberFormat="1" applyFont="1" applyAlignment="1">
      <alignment horizontal="right"/>
    </xf>
    <xf numFmtId="0" fontId="9" fillId="0" borderId="0" xfId="0" applyFont="1"/>
    <xf numFmtId="173" fontId="9" fillId="0" borderId="0" xfId="0" applyNumberFormat="1" applyFont="1" applyAlignment="1">
      <alignment horizontal="right"/>
    </xf>
    <xf numFmtId="167" fontId="4" fillId="0" borderId="0" xfId="2" applyNumberFormat="1" applyFont="1" applyAlignment="1">
      <alignment horizontal="right"/>
    </xf>
    <xf numFmtId="166" fontId="4" fillId="0" borderId="0" xfId="2" applyNumberFormat="1" applyFont="1" applyAlignment="1">
      <alignment horizontal="right"/>
    </xf>
    <xf numFmtId="175" fontId="4" fillId="0" borderId="0" xfId="2" applyNumberFormat="1" applyFont="1" applyAlignment="1">
      <alignment horizontal="right"/>
    </xf>
    <xf numFmtId="167" fontId="6" fillId="0" borderId="1" xfId="2" applyNumberFormat="1" applyFont="1" applyBorder="1" applyAlignment="1">
      <alignment horizontal="right"/>
    </xf>
    <xf numFmtId="167" fontId="3" fillId="2" borderId="0" xfId="2" applyNumberFormat="1" applyFont="1" applyFill="1" applyAlignment="1">
      <alignment horizontal="right"/>
    </xf>
    <xf numFmtId="167" fontId="7" fillId="2" borderId="0" xfId="2" applyNumberFormat="1" applyFont="1" applyFill="1" applyAlignment="1">
      <alignment horizontal="right"/>
    </xf>
    <xf numFmtId="166" fontId="3" fillId="3" borderId="6" xfId="0" applyNumberFormat="1" applyFont="1" applyFill="1" applyBorder="1" applyAlignment="1">
      <alignment horizontal="right"/>
    </xf>
    <xf numFmtId="166" fontId="16" fillId="0" borderId="6" xfId="0" applyNumberFormat="1" applyFont="1" applyBorder="1" applyAlignment="1">
      <alignment horizontal="right"/>
    </xf>
    <xf numFmtId="166" fontId="4" fillId="0" borderId="5" xfId="2" applyNumberFormat="1" applyFont="1" applyBorder="1" applyAlignment="1">
      <alignment horizontal="right"/>
    </xf>
    <xf numFmtId="164" fontId="3" fillId="2" borderId="0" xfId="2" applyNumberFormat="1" applyFont="1" applyFill="1" applyAlignment="1">
      <alignment horizontal="right"/>
    </xf>
    <xf numFmtId="166" fontId="3" fillId="2" borderId="0" xfId="2" applyNumberFormat="1" applyFont="1" applyFill="1" applyAlignment="1">
      <alignment horizontal="right"/>
    </xf>
    <xf numFmtId="166" fontId="6" fillId="0" borderId="1" xfId="2" applyNumberFormat="1" applyFont="1" applyBorder="1" applyAlignment="1">
      <alignment horizontal="right"/>
    </xf>
    <xf numFmtId="167" fontId="11" fillId="0" borderId="0" xfId="2" applyNumberFormat="1" applyFont="1" applyAlignment="1">
      <alignment horizontal="right" indent="1"/>
    </xf>
    <xf numFmtId="0" fontId="4" fillId="0" borderId="0" xfId="5" applyFont="1" applyAlignment="1">
      <alignment horizontal="left" vertical="center" indent="1"/>
    </xf>
    <xf numFmtId="177" fontId="11" fillId="0" borderId="0" xfId="5" applyNumberFormat="1" applyFont="1" applyAlignment="1">
      <alignment horizontal="right" vertical="center"/>
    </xf>
    <xf numFmtId="164" fontId="11" fillId="0" borderId="0" xfId="5" applyNumberFormat="1" applyFont="1" applyAlignment="1">
      <alignment horizontal="right" vertical="center"/>
    </xf>
    <xf numFmtId="0" fontId="9" fillId="0" borderId="0" xfId="5" applyFont="1" applyAlignment="1">
      <alignment horizontal="left" vertical="center" indent="2"/>
    </xf>
    <xf numFmtId="167" fontId="17" fillId="0" borderId="0" xfId="2" applyNumberFormat="1" applyFont="1" applyAlignment="1">
      <alignment horizontal="right" indent="1"/>
    </xf>
    <xf numFmtId="165" fontId="11" fillId="0" borderId="0" xfId="2" applyNumberFormat="1" applyFont="1" applyAlignment="1">
      <alignment horizontal="right"/>
    </xf>
    <xf numFmtId="15" fontId="11" fillId="0" borderId="0" xfId="2" applyNumberFormat="1" applyFont="1" applyAlignment="1">
      <alignment horizontal="right"/>
    </xf>
    <xf numFmtId="167" fontId="6" fillId="0" borderId="0" xfId="2" applyNumberFormat="1" applyFont="1" applyAlignment="1">
      <alignment horizontal="right"/>
    </xf>
    <xf numFmtId="0" fontId="4" fillId="0" borderId="6" xfId="2" applyFont="1" applyBorder="1"/>
    <xf numFmtId="0" fontId="19" fillId="0" borderId="0" xfId="2" applyFont="1"/>
    <xf numFmtId="168" fontId="19" fillId="0" borderId="0" xfId="2" applyNumberFormat="1" applyFont="1"/>
    <xf numFmtId="0" fontId="19" fillId="0" borderId="0" xfId="0" applyFont="1"/>
    <xf numFmtId="0" fontId="19" fillId="0" borderId="0" xfId="2" applyFont="1" applyAlignment="1">
      <alignment horizontal="right"/>
    </xf>
    <xf numFmtId="0" fontId="20" fillId="0" borderId="0" xfId="2" applyFont="1"/>
    <xf numFmtId="0" fontId="19" fillId="0" borderId="0" xfId="2" applyFont="1" applyAlignment="1">
      <alignment horizontal="left" indent="1"/>
    </xf>
    <xf numFmtId="3" fontId="19" fillId="0" borderId="0" xfId="2" applyNumberFormat="1" applyFont="1" applyAlignment="1">
      <alignment horizontal="right"/>
    </xf>
    <xf numFmtId="3" fontId="4" fillId="0" borderId="0" xfId="2" applyNumberFormat="1" applyFont="1" applyAlignment="1">
      <alignment horizontal="right"/>
    </xf>
    <xf numFmtId="0" fontId="16" fillId="0" borderId="6" xfId="2" applyFont="1" applyBorder="1"/>
    <xf numFmtId="0" fontId="3" fillId="3" borderId="0" xfId="2" applyFont="1" applyFill="1"/>
    <xf numFmtId="179" fontId="21" fillId="0" borderId="0" xfId="0" applyNumberFormat="1" applyFont="1" applyAlignment="1">
      <alignment horizontal="right"/>
    </xf>
    <xf numFmtId="0" fontId="4" fillId="0" borderId="0" xfId="2" applyFont="1" applyAlignment="1">
      <alignment horizontal="left"/>
    </xf>
    <xf numFmtId="0" fontId="23" fillId="6" borderId="2" xfId="0" quotePrefix="1" applyFont="1" applyFill="1" applyBorder="1" applyAlignment="1">
      <alignment horizontal="centerContinuous" vertical="center"/>
    </xf>
    <xf numFmtId="0" fontId="23" fillId="6" borderId="0" xfId="0" quotePrefix="1" applyFont="1" applyFill="1" applyAlignment="1">
      <alignment horizontal="centerContinuous" vertical="center"/>
    </xf>
    <xf numFmtId="0" fontId="23" fillId="6" borderId="0" xfId="0" applyFont="1" applyFill="1" applyAlignment="1">
      <alignment horizontal="centerContinuous" vertical="center"/>
    </xf>
    <xf numFmtId="0" fontId="22" fillId="6" borderId="9" xfId="0" applyFont="1" applyFill="1" applyBorder="1" applyAlignment="1">
      <alignment vertical="center"/>
    </xf>
    <xf numFmtId="0" fontId="22" fillId="6" borderId="9" xfId="0" applyFont="1" applyFill="1" applyBorder="1" applyAlignment="1">
      <alignment horizontal="right" vertical="center"/>
    </xf>
    <xf numFmtId="0" fontId="22" fillId="6" borderId="9" xfId="0" applyFont="1" applyFill="1" applyBorder="1" applyAlignment="1">
      <alignment horizontal="center" vertical="center"/>
    </xf>
    <xf numFmtId="0" fontId="24" fillId="7" borderId="10" xfId="0" applyFont="1" applyFill="1" applyBorder="1" applyAlignment="1">
      <alignment horizontal="center" vertical="center"/>
    </xf>
    <xf numFmtId="166" fontId="11" fillId="2" borderId="0" xfId="2" applyNumberFormat="1" applyFont="1" applyFill="1" applyAlignment="1">
      <alignment horizontal="right"/>
    </xf>
    <xf numFmtId="0" fontId="22" fillId="6" borderId="2" xfId="0" applyFont="1" applyFill="1" applyBorder="1" applyAlignment="1">
      <alignment horizontal="centerContinuous" vertical="center"/>
    </xf>
    <xf numFmtId="0" fontId="4" fillId="0" borderId="0" xfId="2" applyFont="1" applyAlignment="1">
      <alignment vertical="center"/>
    </xf>
    <xf numFmtId="0" fontId="4" fillId="0" borderId="11" xfId="2" applyFont="1" applyBorder="1" applyAlignment="1">
      <alignment vertical="center"/>
    </xf>
    <xf numFmtId="0" fontId="4" fillId="0" borderId="8" xfId="2" applyFont="1" applyBorder="1" applyAlignment="1">
      <alignment vertical="center"/>
    </xf>
    <xf numFmtId="0" fontId="4" fillId="0" borderId="12" xfId="2" applyFont="1" applyBorder="1" applyAlignment="1">
      <alignment horizontal="right" vertical="center"/>
    </xf>
    <xf numFmtId="0" fontId="4" fillId="0" borderId="13" xfId="2" applyFont="1" applyBorder="1" applyAlignment="1">
      <alignment vertical="center"/>
    </xf>
    <xf numFmtId="0" fontId="11" fillId="0" borderId="14" xfId="2" applyFont="1" applyBorder="1" applyAlignment="1">
      <alignment horizontal="right" vertical="center"/>
    </xf>
    <xf numFmtId="15" fontId="11" fillId="0" borderId="14" xfId="6" applyNumberFormat="1" applyFont="1" applyFill="1" applyBorder="1" applyAlignment="1">
      <alignment horizontal="right" vertical="center"/>
    </xf>
    <xf numFmtId="0" fontId="4" fillId="0" borderId="0" xfId="2" applyFont="1" applyAlignment="1">
      <alignment horizontal="left" vertical="center"/>
    </xf>
    <xf numFmtId="0" fontId="3" fillId="2" borderId="14" xfId="2" applyFont="1" applyFill="1" applyBorder="1" applyAlignment="1">
      <alignment horizontal="right" vertical="center"/>
    </xf>
    <xf numFmtId="183" fontId="11" fillId="0" borderId="14" xfId="2" applyNumberFormat="1" applyFont="1" applyBorder="1" applyAlignment="1">
      <alignment horizontal="right" vertical="center"/>
    </xf>
    <xf numFmtId="0" fontId="4" fillId="0" borderId="13" xfId="2" applyFont="1" applyBorder="1"/>
    <xf numFmtId="165" fontId="11" fillId="0" borderId="14" xfId="2" applyNumberFormat="1" applyFont="1" applyBorder="1" applyAlignment="1">
      <alignment horizontal="right"/>
    </xf>
    <xf numFmtId="0" fontId="4" fillId="0" borderId="13" xfId="2" applyFont="1" applyBorder="1" applyAlignment="1">
      <alignment horizontal="left" vertical="center"/>
    </xf>
    <xf numFmtId="15" fontId="4" fillId="0" borderId="15" xfId="2" applyNumberFormat="1" applyFont="1" applyBorder="1" applyAlignment="1">
      <alignment horizontal="left" vertical="center"/>
    </xf>
    <xf numFmtId="0" fontId="4" fillId="0" borderId="2" xfId="2" applyFont="1" applyBorder="1"/>
    <xf numFmtId="0" fontId="6" fillId="0" borderId="17" xfId="2" applyFont="1" applyBorder="1"/>
    <xf numFmtId="0" fontId="4" fillId="0" borderId="18" xfId="2" applyFont="1" applyBorder="1"/>
    <xf numFmtId="0" fontId="14" fillId="0" borderId="0" xfId="2" applyFont="1" applyAlignment="1">
      <alignment horizontal="left" vertical="center"/>
    </xf>
    <xf numFmtId="0" fontId="6" fillId="0" borderId="0" xfId="2" applyFont="1" applyAlignment="1">
      <alignment vertical="center"/>
    </xf>
    <xf numFmtId="180" fontId="18" fillId="0" borderId="0" xfId="2" quotePrefix="1" applyNumberFormat="1" applyFont="1" applyAlignment="1">
      <alignment horizontal="center" vertical="center"/>
    </xf>
    <xf numFmtId="176" fontId="18" fillId="0" borderId="0" xfId="2" quotePrefix="1" applyNumberFormat="1" applyFont="1" applyAlignment="1">
      <alignment horizontal="center" vertical="center"/>
    </xf>
    <xf numFmtId="181" fontId="11" fillId="0" borderId="0" xfId="2" applyNumberFormat="1" applyFont="1" applyAlignment="1">
      <alignment horizontal="right" vertical="center" indent="1"/>
    </xf>
    <xf numFmtId="167" fontId="11" fillId="0" borderId="0" xfId="2" applyNumberFormat="1" applyFont="1" applyAlignment="1">
      <alignment horizontal="right" vertical="center" indent="1"/>
    </xf>
    <xf numFmtId="178" fontId="11" fillId="0" borderId="0" xfId="2" applyNumberFormat="1" applyFont="1" applyAlignment="1">
      <alignment horizontal="right" vertical="center" indent="1"/>
    </xf>
    <xf numFmtId="0" fontId="4" fillId="0" borderId="0" xfId="2" applyFont="1" applyAlignment="1">
      <alignment horizontal="left" vertical="center" indent="1"/>
    </xf>
    <xf numFmtId="175" fontId="11" fillId="0" borderId="0" xfId="2" applyNumberFormat="1" applyFont="1" applyAlignment="1">
      <alignment horizontal="right" vertical="center"/>
    </xf>
    <xf numFmtId="170" fontId="11" fillId="0" borderId="0" xfId="2" applyNumberFormat="1" applyFont="1" applyAlignment="1">
      <alignment horizontal="right" vertical="center"/>
    </xf>
    <xf numFmtId="167" fontId="17" fillId="0" borderId="0" xfId="2" applyNumberFormat="1" applyFont="1" applyAlignment="1">
      <alignment horizontal="right" vertical="center" indent="1"/>
    </xf>
    <xf numFmtId="0" fontId="4" fillId="0" borderId="0" xfId="2" applyFont="1" applyAlignment="1">
      <alignment horizontal="right" vertical="center" indent="1"/>
    </xf>
    <xf numFmtId="0" fontId="4" fillId="0" borderId="0" xfId="2" applyFont="1" applyAlignment="1">
      <alignment horizontal="left" vertical="center" indent="2"/>
    </xf>
    <xf numFmtId="0" fontId="4" fillId="0" borderId="3" xfId="2" applyFont="1" applyBorder="1" applyAlignment="1">
      <alignment horizontal="left" vertical="center" indent="1"/>
    </xf>
    <xf numFmtId="0" fontId="6" fillId="0" borderId="4" xfId="2" applyFont="1" applyBorder="1" applyAlignment="1">
      <alignment horizontal="left" vertical="center" indent="1"/>
    </xf>
    <xf numFmtId="0" fontId="4" fillId="0" borderId="6" xfId="2" applyFont="1" applyBorder="1" applyAlignment="1">
      <alignment horizontal="left" vertical="center" indent="1"/>
    </xf>
    <xf numFmtId="0" fontId="7" fillId="0" borderId="0" xfId="1" applyFont="1" applyAlignment="1">
      <alignment horizontal="left" vertical="center" indent="1"/>
    </xf>
    <xf numFmtId="0" fontId="7" fillId="0" borderId="5" xfId="1" applyFont="1" applyBorder="1" applyAlignment="1">
      <alignment horizontal="left" vertical="center" indent="1"/>
    </xf>
    <xf numFmtId="167" fontId="13" fillId="0" borderId="0" xfId="2" applyNumberFormat="1" applyFont="1" applyAlignment="1">
      <alignment horizontal="right" vertical="center"/>
    </xf>
    <xf numFmtId="169" fontId="11" fillId="0" borderId="0" xfId="1" applyNumberFormat="1" applyFont="1" applyAlignment="1">
      <alignment horizontal="right" vertical="center" indent="1"/>
    </xf>
    <xf numFmtId="166" fontId="11" fillId="0" borderId="0" xfId="2" applyNumberFormat="1" applyFont="1" applyAlignment="1">
      <alignment horizontal="right" vertical="center" indent="1"/>
    </xf>
    <xf numFmtId="182" fontId="7" fillId="0" borderId="0" xfId="2" applyNumberFormat="1" applyFont="1" applyAlignment="1">
      <alignment horizontal="right" vertical="center" indent="1"/>
    </xf>
    <xf numFmtId="0" fontId="4" fillId="8" borderId="16" xfId="2" applyFont="1" applyFill="1" applyBorder="1" applyAlignment="1">
      <alignment horizontal="center" vertical="center"/>
    </xf>
    <xf numFmtId="15" fontId="11" fillId="9" borderId="19" xfId="2" applyNumberFormat="1" applyFont="1" applyFill="1" applyBorder="1" applyAlignment="1">
      <alignment horizontal="center" vertical="center"/>
    </xf>
    <xf numFmtId="167" fontId="11" fillId="0" borderId="6" xfId="2" applyNumberFormat="1" applyFont="1" applyBorder="1" applyAlignment="1">
      <alignment horizontal="right" vertical="center" indent="1"/>
    </xf>
    <xf numFmtId="167" fontId="11" fillId="0" borderId="20" xfId="2" applyNumberFormat="1" applyFont="1" applyBorder="1" applyAlignment="1">
      <alignment horizontal="right" vertical="center" indent="1"/>
    </xf>
    <xf numFmtId="166" fontId="11" fillId="0" borderId="3" xfId="2" applyNumberFormat="1" applyFont="1" applyBorder="1" applyAlignment="1">
      <alignment horizontal="right" vertical="center" indent="1"/>
    </xf>
    <xf numFmtId="167" fontId="16" fillId="0" borderId="4" xfId="2" applyNumberFormat="1" applyFont="1" applyBorder="1" applyAlignment="1">
      <alignment horizontal="right" vertical="center" indent="1"/>
    </xf>
  </cellXfs>
  <cellStyles count="7">
    <cellStyle name="blp_column_header" xfId="3" xr:uid="{00000000-0005-0000-0000-000000000000}"/>
    <cellStyle name="Normal" xfId="0" builtinId="0"/>
    <cellStyle name="Normal 12" xfId="5" xr:uid="{00000000-0005-0000-0000-000002000000}"/>
    <cellStyle name="Normal 2" xfId="4" xr:uid="{00000000-0005-0000-0000-000003000000}"/>
    <cellStyle name="Normal 2 2" xfId="1" xr:uid="{00000000-0005-0000-0000-000004000000}"/>
    <cellStyle name="Normal 5" xfId="2" xr:uid="{00000000-0005-0000-0000-000005000000}"/>
    <cellStyle name="Note" xfId="6" builtinId="1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INFOR (New)">
      <a:dk1>
        <a:sysClr val="windowText" lastClr="000000"/>
      </a:dk1>
      <a:lt1>
        <a:sysClr val="window" lastClr="FFFFFF"/>
      </a:lt1>
      <a:dk2>
        <a:srgbClr val="000000"/>
      </a:dk2>
      <a:lt2>
        <a:srgbClr val="FFFFFF"/>
      </a:lt2>
      <a:accent1>
        <a:srgbClr val="0E213F"/>
      </a:accent1>
      <a:accent2>
        <a:srgbClr val="46566E"/>
      </a:accent2>
      <a:accent3>
        <a:srgbClr val="ADB9CA"/>
      </a:accent3>
      <a:accent4>
        <a:srgbClr val="A4844B"/>
      </a:accent4>
      <a:accent5>
        <a:srgbClr val="767171"/>
      </a:accent5>
      <a:accent6>
        <a:srgbClr val="E5E3E3"/>
      </a:accent6>
      <a:hlink>
        <a:srgbClr val="800000"/>
      </a:hlink>
      <a:folHlink>
        <a:srgbClr val="33330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F2C39A5-D4EF-4893-891D-369FBC5BCB24}">
  <we:reference id="WA200009404" version="1.0.0.5" store="Omex"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5C214-4D39-4003-8444-C37ABE1DE8C7}">
  <dimension ref="A1"/>
  <sheetViews>
    <sheetView workbookViewId="0"/>
  </sheetViews>
  <sheetFormatPr defaultRowHeight="15" x14ac:dyDescent="0.25"/>
  <sheetData>
    <row r="1" spans="1:1" x14ac:dyDescent="0.25">
      <c r="A1" t="s">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141"/>
  <sheetViews>
    <sheetView showGridLines="0" tabSelected="1" view="pageBreakPreview" zoomScale="98" zoomScaleNormal="25" zoomScaleSheetLayoutView="98" workbookViewId="0">
      <selection activeCell="K6" sqref="K6"/>
    </sheetView>
  </sheetViews>
  <sheetFormatPr defaultColWidth="8.85546875" defaultRowHeight="15" customHeight="1" x14ac:dyDescent="0.3"/>
  <cols>
    <col min="1" max="1" width="2.7109375" style="4" customWidth="1"/>
    <col min="2" max="5" width="14.7109375" style="4" customWidth="1"/>
    <col min="6" max="6" width="14.7109375" style="6" customWidth="1"/>
    <col min="7" max="7" width="2.7109375" style="4" customWidth="1"/>
    <col min="8" max="8" width="8.85546875" style="66" customWidth="1"/>
    <col min="9" max="10" width="8.85546875" style="4" customWidth="1"/>
    <col min="11" max="12" width="8.85546875" style="4"/>
    <col min="13" max="16" width="8.85546875" style="4" customWidth="1"/>
    <col min="17" max="17" width="8.85546875" style="5"/>
    <col min="18" max="16384" width="8.85546875" style="4"/>
  </cols>
  <sheetData>
    <row r="1" spans="1:10" s="4" customFormat="1" thickBot="1" x14ac:dyDescent="0.35">
      <c r="A1" s="4" t="s">
        <v>63</v>
      </c>
      <c r="B1" s="63"/>
      <c r="C1" s="76"/>
      <c r="G1" s="4" t="s">
        <v>63</v>
      </c>
      <c r="H1" s="66"/>
    </row>
    <row r="2" spans="1:10" s="4" customFormat="1" ht="18" customHeight="1" x14ac:dyDescent="0.3">
      <c r="B2" s="88" t="s">
        <v>1</v>
      </c>
      <c r="C2" s="89"/>
      <c r="D2" s="89"/>
      <c r="E2" s="89"/>
      <c r="F2" s="90" t="str" cm="1">
        <f t="array" ref="F2">_xll.SNL.Clients.Office.Excel.Functions.SPG($F$3,"SP_COMPANY_NAME")</f>
        <v>#PEND</v>
      </c>
      <c r="H2" s="66"/>
    </row>
    <row r="3" spans="1:10" s="4" customFormat="1" ht="18" customHeight="1" x14ac:dyDescent="0.3">
      <c r="B3" s="91" t="s">
        <v>56</v>
      </c>
      <c r="C3" s="87"/>
      <c r="D3" s="87"/>
      <c r="E3" s="87"/>
      <c r="F3" s="95"/>
      <c r="H3" s="66"/>
    </row>
    <row r="4" spans="1:10" s="4" customFormat="1" ht="18" customHeight="1" x14ac:dyDescent="0.3">
      <c r="B4" s="91" t="s">
        <v>57</v>
      </c>
      <c r="C4" s="87"/>
      <c r="D4" s="87"/>
      <c r="E4" s="87"/>
      <c r="F4" s="92" t="str" cm="1">
        <f t="array" aca="1" ref="F4" ca="1">_xll.SNL.Clients.Office.Excel.Functions.SPG($F$3,"IQ_CURRENCY_FINANCIALS","FY0",$F$6,"Options: NA=NA")</f>
        <v>#PEND</v>
      </c>
      <c r="H4" s="66"/>
    </row>
    <row r="5" spans="1:10" s="4" customFormat="1" ht="18" customHeight="1" x14ac:dyDescent="0.3">
      <c r="B5" s="91" t="s">
        <v>58</v>
      </c>
      <c r="C5" s="87"/>
      <c r="D5" s="87"/>
      <c r="E5" s="87"/>
      <c r="F5" s="95" t="s">
        <v>51</v>
      </c>
      <c r="H5" s="66"/>
    </row>
    <row r="6" spans="1:10" s="4" customFormat="1" ht="18" customHeight="1" x14ac:dyDescent="0.3">
      <c r="B6" s="91" t="s">
        <v>2</v>
      </c>
      <c r="C6" s="87"/>
      <c r="D6" s="87"/>
      <c r="E6" s="87"/>
      <c r="F6" s="93">
        <f ca="1">TODAY()-1</f>
        <v>46098</v>
      </c>
      <c r="H6" s="66"/>
    </row>
    <row r="7" spans="1:10" s="4" customFormat="1" ht="18" customHeight="1" x14ac:dyDescent="0.3">
      <c r="B7" s="91" t="s">
        <v>55</v>
      </c>
      <c r="C7" s="87"/>
      <c r="D7" s="87"/>
      <c r="E7" s="87"/>
      <c r="F7" s="96" t="str" cm="1">
        <f t="array" aca="1" ref="F7" ca="1">_xll.SNL.Clients.Office.Excel.Functions.SPG("$"&amp;F5&amp;$F$4,"SP_PRICE_CLOSE",WORKDAY($F$6+1,-1),"Options: NA=NA")</f>
        <v>#PEND</v>
      </c>
      <c r="H7" s="66"/>
      <c r="I7" s="7"/>
      <c r="J7" s="8"/>
    </row>
    <row r="8" spans="1:10" s="4" customFormat="1" ht="3" customHeight="1" x14ac:dyDescent="0.3">
      <c r="B8" s="97"/>
      <c r="F8" s="98"/>
      <c r="H8" s="66"/>
      <c r="I8" s="7"/>
      <c r="J8" s="8"/>
    </row>
    <row r="9" spans="1:10" s="4" customFormat="1" ht="18" customHeight="1" x14ac:dyDescent="0.3">
      <c r="B9" s="102" t="s">
        <v>61</v>
      </c>
      <c r="C9" s="103"/>
      <c r="D9" s="103"/>
      <c r="E9" s="103"/>
      <c r="F9" s="98"/>
      <c r="H9" s="66"/>
      <c r="I9" s="7"/>
      <c r="J9" s="8"/>
    </row>
    <row r="10" spans="1:10" s="4" customFormat="1" ht="18" customHeight="1" x14ac:dyDescent="0.3">
      <c r="B10" s="99" t="s">
        <v>60</v>
      </c>
      <c r="F10" s="127" t="s">
        <v>38</v>
      </c>
      <c r="H10" s="66"/>
      <c r="I10" s="7"/>
      <c r="J10" s="8"/>
    </row>
    <row r="11" spans="1:10" s="4" customFormat="1" ht="18" customHeight="1" thickBot="1" x14ac:dyDescent="0.35">
      <c r="B11" s="100" t="s">
        <v>59</v>
      </c>
      <c r="C11" s="101"/>
      <c r="D11" s="101"/>
      <c r="E11" s="101"/>
      <c r="F11" s="126" t="s">
        <v>54</v>
      </c>
      <c r="H11" s="66"/>
      <c r="I11" s="7"/>
      <c r="J11" s="8"/>
    </row>
    <row r="12" spans="1:10" s="4" customFormat="1" ht="18" customHeight="1" x14ac:dyDescent="0.3">
      <c r="B12" s="87"/>
      <c r="F12" s="62"/>
      <c r="H12" s="66"/>
      <c r="I12" s="7"/>
      <c r="J12" s="8"/>
    </row>
    <row r="13" spans="1:10" s="4" customFormat="1" ht="18" customHeight="1" thickBot="1" x14ac:dyDescent="0.35">
      <c r="B13" s="78" t="str">
        <f>F2&amp;" Cap Table"</f>
        <v>#PEND Cap Table</v>
      </c>
      <c r="C13" s="86"/>
      <c r="D13" s="86"/>
      <c r="E13" s="86"/>
      <c r="F13" s="86"/>
      <c r="H13" s="66"/>
    </row>
    <row r="14" spans="1:10" s="4" customFormat="1" ht="3" customHeight="1" x14ac:dyDescent="0.3">
      <c r="B14" s="9"/>
      <c r="C14" s="10"/>
      <c r="D14" s="10"/>
      <c r="E14" s="10"/>
      <c r="F14" s="11"/>
      <c r="H14" s="66"/>
    </row>
    <row r="15" spans="1:10" s="4" customFormat="1" ht="18" customHeight="1" x14ac:dyDescent="0.3">
      <c r="B15" s="111" t="s">
        <v>3</v>
      </c>
      <c r="F15" s="115">
        <f>F3</f>
        <v>0</v>
      </c>
      <c r="H15" s="66"/>
    </row>
    <row r="16" spans="1:10" s="4" customFormat="1" ht="18" customHeight="1" x14ac:dyDescent="0.3">
      <c r="B16" s="111" t="str">
        <f ca="1">CONCATENATE("Share Price (",TEXT(F6,"dd-mmm-yy"),")")</f>
        <v>Share Price (17-Mar-26)</v>
      </c>
      <c r="F16" s="125" t="str" cm="1">
        <f t="array" aca="1" ref="F16" ca="1">_xll.SNL.Clients.Office.Excel.Functions.SPG($F$3,"SP_LASTSALEPRICE",$F$6,"Options:NA=NA,Curr="&amp;$F$5)</f>
        <v>#PEND</v>
      </c>
      <c r="H16" s="66"/>
    </row>
    <row r="17" spans="2:17" ht="18" customHeight="1" x14ac:dyDescent="0.3">
      <c r="B17" s="116" t="s">
        <v>4</v>
      </c>
      <c r="F17" s="124">
        <f>F137</f>
        <v>0</v>
      </c>
    </row>
    <row r="18" spans="2:17" ht="18" customHeight="1" x14ac:dyDescent="0.3">
      <c r="B18" s="117" t="s">
        <v>5</v>
      </c>
      <c r="C18" s="14"/>
      <c r="D18" s="14"/>
      <c r="E18" s="14"/>
      <c r="F18" s="129" t="e">
        <f ca="1">F16*F17</f>
        <v>#VALUE!</v>
      </c>
      <c r="I18" s="3"/>
      <c r="J18" s="3"/>
      <c r="K18" s="3"/>
      <c r="L18" s="3"/>
      <c r="M18" s="3"/>
      <c r="N18" s="3"/>
      <c r="O18" s="3"/>
      <c r="P18" s="3"/>
      <c r="Q18" s="15"/>
    </row>
    <row r="19" spans="2:17" ht="18" customHeight="1" x14ac:dyDescent="0.3">
      <c r="B19" s="116" t="str">
        <f>IF(F10="Treasury Stock","Net","")&amp;" ITM Dilutive Securities"</f>
        <v>Net ITM Dilutive Securities</v>
      </c>
      <c r="F19" s="124" t="e">
        <f ca="1">IF(F10="Treasury Stock",F77,F75)</f>
        <v>#VALUE!</v>
      </c>
    </row>
    <row r="20" spans="2:17" ht="18" customHeight="1" x14ac:dyDescent="0.3">
      <c r="B20" s="116" t="s">
        <v>6</v>
      </c>
      <c r="F20" s="124">
        <f ca="1">F87</f>
        <v>0</v>
      </c>
    </row>
    <row r="21" spans="2:17" ht="18" customHeight="1" x14ac:dyDescent="0.3">
      <c r="B21" s="117" t="s">
        <v>29</v>
      </c>
      <c r="C21" s="14"/>
      <c r="D21" s="14"/>
      <c r="E21" s="14"/>
      <c r="F21" s="130" t="e">
        <f ca="1">F17+F19+F20</f>
        <v>#VALUE!</v>
      </c>
      <c r="I21" s="3"/>
      <c r="J21" s="3"/>
      <c r="K21" s="3"/>
      <c r="L21" s="3"/>
      <c r="M21" s="3"/>
      <c r="N21" s="3"/>
      <c r="O21" s="3"/>
      <c r="P21" s="3"/>
      <c r="Q21" s="15"/>
    </row>
    <row r="22" spans="2:17" ht="18" customHeight="1" thickBot="1" x14ac:dyDescent="0.35">
      <c r="B22" s="118" t="s">
        <v>28</v>
      </c>
      <c r="C22" s="16"/>
      <c r="D22" s="16"/>
      <c r="E22" s="16"/>
      <c r="F22" s="131" t="e">
        <f ca="1">F16*F21</f>
        <v>#VALUE!</v>
      </c>
      <c r="H22" s="67"/>
      <c r="I22" s="3"/>
      <c r="J22" s="3"/>
      <c r="K22" s="3"/>
      <c r="L22" s="3"/>
      <c r="M22" s="3"/>
      <c r="N22" s="3"/>
      <c r="O22" s="3"/>
      <c r="P22" s="3"/>
      <c r="Q22" s="15"/>
    </row>
    <row r="23" spans="2:17" ht="3" customHeight="1" thickTop="1" x14ac:dyDescent="0.3">
      <c r="B23" s="111"/>
      <c r="F23" s="115"/>
      <c r="I23" s="3"/>
      <c r="J23" s="3"/>
      <c r="K23" s="3"/>
      <c r="L23" s="3"/>
      <c r="M23" s="3"/>
      <c r="N23" s="3"/>
      <c r="O23" s="3"/>
      <c r="P23" s="3"/>
      <c r="Q23" s="15"/>
    </row>
    <row r="24" spans="2:17" ht="18" customHeight="1" x14ac:dyDescent="0.3">
      <c r="B24" s="116" t="s">
        <v>27</v>
      </c>
      <c r="F24" s="109" t="e">
        <f ca="1">F99*F7</f>
        <v>#VALUE!</v>
      </c>
      <c r="I24" s="3"/>
      <c r="J24" s="3"/>
      <c r="K24" s="3"/>
      <c r="L24" s="3"/>
      <c r="M24" s="3"/>
      <c r="N24" s="3"/>
      <c r="O24" s="3"/>
      <c r="P24" s="3"/>
      <c r="Q24" s="15"/>
    </row>
    <row r="25" spans="2:17" ht="18" customHeight="1" x14ac:dyDescent="0.3">
      <c r="B25" s="116" t="s">
        <v>42</v>
      </c>
      <c r="F25" s="109" t="e">
        <f ca="1">IF($F$11="ON",$F$111,0)*F7</f>
        <v>#VALUE!</v>
      </c>
      <c r="I25" s="3"/>
      <c r="J25" s="3"/>
      <c r="K25" s="3"/>
      <c r="L25" s="3"/>
      <c r="M25" s="3"/>
      <c r="N25" s="3"/>
      <c r="O25" s="3"/>
      <c r="P25" s="3"/>
      <c r="Q25" s="15"/>
    </row>
    <row r="26" spans="2:17" ht="18" customHeight="1" x14ac:dyDescent="0.3">
      <c r="B26" s="116" t="s">
        <v>7</v>
      </c>
      <c r="F26" s="109" t="e">
        <f ca="1">-F123*F7</f>
        <v>#VALUE!</v>
      </c>
      <c r="I26" s="3"/>
      <c r="J26" s="3"/>
      <c r="K26" s="3"/>
      <c r="L26" s="3"/>
      <c r="M26" s="3"/>
      <c r="N26" s="3"/>
      <c r="O26" s="3"/>
      <c r="P26" s="3"/>
      <c r="Q26" s="15"/>
    </row>
    <row r="27" spans="2:17" ht="18" customHeight="1" x14ac:dyDescent="0.3">
      <c r="B27" s="116" t="s">
        <v>43</v>
      </c>
      <c r="F27" s="109" t="e">
        <f ca="1">IF(F10="Treasury Stock",0,-F73)*F7</f>
        <v>#VALUE!</v>
      </c>
      <c r="I27" s="3"/>
      <c r="J27" s="3"/>
      <c r="K27" s="3"/>
      <c r="L27" s="3"/>
      <c r="M27" s="3"/>
      <c r="N27" s="3"/>
      <c r="O27" s="3"/>
      <c r="P27" s="3"/>
      <c r="Q27" s="15"/>
    </row>
    <row r="28" spans="2:17" ht="18" customHeight="1" x14ac:dyDescent="0.3">
      <c r="B28" s="119" t="s">
        <v>8</v>
      </c>
      <c r="C28" s="65"/>
      <c r="D28" s="65"/>
      <c r="E28" s="65"/>
      <c r="F28" s="128" t="e">
        <f ca="1">F24+F25+F26+F27</f>
        <v>#VALUE!</v>
      </c>
      <c r="I28" s="3"/>
      <c r="J28" s="3"/>
      <c r="K28" s="3"/>
      <c r="L28" s="3"/>
      <c r="M28" s="3"/>
      <c r="N28" s="3"/>
      <c r="O28" s="3"/>
      <c r="P28" s="3"/>
      <c r="Q28" s="15"/>
    </row>
    <row r="29" spans="2:17" s="2" customFormat="1" ht="18" customHeight="1" x14ac:dyDescent="0.3">
      <c r="B29" s="120" t="s">
        <v>26</v>
      </c>
      <c r="C29" s="18"/>
      <c r="D29" s="18"/>
      <c r="E29" s="19"/>
      <c r="F29" s="123" t="e">
        <f ca="1">+$F$52*F7</f>
        <v>#VALUE!</v>
      </c>
      <c r="G29" s="1"/>
      <c r="H29" s="68"/>
      <c r="I29" s="1"/>
      <c r="J29" s="1"/>
      <c r="K29" s="1"/>
      <c r="L29" s="1"/>
      <c r="M29" s="1"/>
      <c r="N29" s="1"/>
      <c r="O29" s="1"/>
      <c r="P29" s="1"/>
      <c r="Q29" s="1"/>
    </row>
    <row r="30" spans="2:17" s="2" customFormat="1" ht="18" customHeight="1" x14ac:dyDescent="0.3">
      <c r="B30" s="121" t="s">
        <v>25</v>
      </c>
      <c r="C30" s="20"/>
      <c r="D30" s="20"/>
      <c r="E30" s="21"/>
      <c r="F30" s="123" t="e">
        <f ca="1">+$F$53*F7</f>
        <v>#VALUE!</v>
      </c>
      <c r="G30" s="1"/>
      <c r="H30" s="68"/>
      <c r="I30" s="1"/>
      <c r="J30" s="1"/>
      <c r="K30" s="1"/>
      <c r="L30" s="1"/>
      <c r="M30" s="1"/>
      <c r="N30" s="1"/>
      <c r="O30" s="1"/>
      <c r="P30" s="1"/>
      <c r="Q30" s="1"/>
    </row>
    <row r="31" spans="2:17" ht="18" customHeight="1" thickBot="1" x14ac:dyDescent="0.35">
      <c r="B31" s="118" t="s">
        <v>24</v>
      </c>
      <c r="C31" s="16"/>
      <c r="D31" s="16"/>
      <c r="E31" s="16"/>
      <c r="F31" s="131" t="e">
        <f ca="1">F22+F28+F29+F30</f>
        <v>#VALUE!</v>
      </c>
      <c r="I31" s="3"/>
      <c r="J31" s="3"/>
      <c r="K31" s="3"/>
      <c r="L31" s="3"/>
      <c r="M31" s="3"/>
      <c r="N31" s="3"/>
      <c r="O31" s="3"/>
      <c r="P31" s="3"/>
      <c r="Q31" s="15"/>
    </row>
    <row r="32" spans="2:17" ht="18" customHeight="1" thickTop="1" x14ac:dyDescent="0.3">
      <c r="B32" s="94"/>
      <c r="C32" s="105"/>
      <c r="D32" s="122"/>
      <c r="E32" s="122"/>
      <c r="F32" s="122"/>
    </row>
    <row r="33" spans="2:13" s="4" customFormat="1" ht="18" customHeight="1" x14ac:dyDescent="0.3">
      <c r="B33" s="104" t="s">
        <v>62</v>
      </c>
      <c r="C33" s="10"/>
      <c r="D33" s="106" t="s">
        <v>50</v>
      </c>
      <c r="E33" s="107" t="s">
        <v>48</v>
      </c>
      <c r="F33" s="107" t="s">
        <v>49</v>
      </c>
      <c r="H33" s="66"/>
    </row>
    <row r="34" spans="2:13" s="4" customFormat="1" ht="18" customHeight="1" x14ac:dyDescent="0.3">
      <c r="B34" s="111" t="s">
        <v>31</v>
      </c>
      <c r="C34" s="10"/>
      <c r="D34" s="108" t="str">
        <f ca="1">IFERROR(IF(D47="NULL","na ",D47),"n/a ")</f>
        <v>#PEND</v>
      </c>
      <c r="E34" s="109" t="str">
        <f ca="1">IFERROR(IF(E47="NULL","na ",E47),"n/a ")</f>
        <v>#PEND</v>
      </c>
      <c r="F34" s="109" t="str">
        <f ca="1">IFERROR(IF(F47="NULL","na ",F47),"n/a ")</f>
        <v>#PEND</v>
      </c>
      <c r="H34" s="66"/>
    </row>
    <row r="35" spans="2:13" s="4" customFormat="1" ht="18" customHeight="1" x14ac:dyDescent="0.3">
      <c r="B35" s="111" t="s">
        <v>44</v>
      </c>
      <c r="C35" s="10"/>
      <c r="D35" s="108" t="str">
        <f ca="1">IFERROR(IF(D48="NULL","na ",D48),"na/ ")</f>
        <v>#PEND</v>
      </c>
      <c r="E35" s="109" t="str">
        <f ca="1">IFERROR(IF(E48="NULL","na ",E48),"na/ ")</f>
        <v>#PEND</v>
      </c>
      <c r="F35" s="109" t="str">
        <f ca="1">IFERROR(IF(F48="NULL","na ",F48),"na/ ")</f>
        <v>#PEND</v>
      </c>
      <c r="H35" s="66"/>
    </row>
    <row r="36" spans="2:13" s="4" customFormat="1" ht="18" customHeight="1" x14ac:dyDescent="0.3">
      <c r="B36" s="111" t="s">
        <v>46</v>
      </c>
      <c r="C36" s="10"/>
      <c r="D36" s="110" t="str">
        <f ca="1">IFERROR(IF(D35&lt;0,"nmf ",D35/D34),"n/a ")</f>
        <v xml:space="preserve">n/a </v>
      </c>
      <c r="E36" s="110" t="str">
        <f t="shared" ref="E36:F36" ca="1" si="0">IFERROR(IF(E35&lt;0,"nmf ",E35/E34),"n/a ")</f>
        <v xml:space="preserve">n/a </v>
      </c>
      <c r="F36" s="110" t="str">
        <f t="shared" ca="1" si="0"/>
        <v xml:space="preserve">n/a </v>
      </c>
      <c r="H36" s="66"/>
    </row>
    <row r="37" spans="2:13" s="4" customFormat="1" ht="3" customHeight="1" x14ac:dyDescent="0.3">
      <c r="B37" s="111"/>
      <c r="C37" s="10"/>
      <c r="D37" s="56"/>
      <c r="E37" s="56"/>
      <c r="F37" s="56"/>
      <c r="H37" s="66"/>
    </row>
    <row r="38" spans="2:13" s="4" customFormat="1" ht="18" customHeight="1" x14ac:dyDescent="0.3">
      <c r="B38" s="104" t="s">
        <v>30</v>
      </c>
      <c r="F38" s="13"/>
      <c r="H38" s="66"/>
    </row>
    <row r="39" spans="2:13" s="4" customFormat="1" ht="18" customHeight="1" x14ac:dyDescent="0.3">
      <c r="B39" s="111" t="s">
        <v>32</v>
      </c>
      <c r="D39" s="113" t="e">
        <f ca="1">+$F$31/D$34</f>
        <v>#VALUE!</v>
      </c>
      <c r="E39" s="113" t="e">
        <f t="shared" ref="E39:F39" ca="1" si="1">+$F$31/E$34</f>
        <v>#VALUE!</v>
      </c>
      <c r="F39" s="113" t="e">
        <f t="shared" ca="1" si="1"/>
        <v>#VALUE!</v>
      </c>
      <c r="H39" s="69"/>
    </row>
    <row r="40" spans="2:13" s="4" customFormat="1" ht="18" customHeight="1" x14ac:dyDescent="0.3">
      <c r="B40" s="111" t="s">
        <v>45</v>
      </c>
      <c r="D40" s="113" t="e">
        <f ca="1">+$F$31/D$35</f>
        <v>#VALUE!</v>
      </c>
      <c r="E40" s="113" t="e">
        <f t="shared" ref="E40:F40" ca="1" si="2">+$F$31/E$35</f>
        <v>#VALUE!</v>
      </c>
      <c r="F40" s="113" t="e">
        <f t="shared" ca="1" si="2"/>
        <v>#VALUE!</v>
      </c>
      <c r="H40" s="66"/>
    </row>
    <row r="41" spans="2:13" s="4" customFormat="1" ht="3" customHeight="1" x14ac:dyDescent="0.3">
      <c r="B41" s="111"/>
      <c r="D41" s="23"/>
      <c r="E41" s="23"/>
      <c r="F41" s="23"/>
      <c r="H41" s="66"/>
    </row>
    <row r="42" spans="2:13" s="4" customFormat="1" ht="18" customHeight="1" x14ac:dyDescent="0.3">
      <c r="B42" s="104" t="s">
        <v>33</v>
      </c>
      <c r="D42" s="23"/>
      <c r="E42" s="23"/>
      <c r="F42" s="23"/>
      <c r="H42" s="66"/>
    </row>
    <row r="43" spans="2:13" s="4" customFormat="1" ht="18" customHeight="1" x14ac:dyDescent="0.3">
      <c r="B43" s="57" t="s">
        <v>34</v>
      </c>
      <c r="D43" s="23"/>
      <c r="E43" s="23"/>
      <c r="F43" s="58" t="str" cm="1">
        <f t="array" aca="1" ref="F43" ca="1">_xll.SNL.Clients.Office.Excel.Functions.SPG($F$3,"SP_NUM_BROKER_REC",$F$6,"Options:NA=NA")</f>
        <v>#PEND</v>
      </c>
      <c r="H43" s="72"/>
      <c r="I43" s="73"/>
      <c r="J43" s="73"/>
      <c r="K43" s="73"/>
      <c r="L43" s="73"/>
      <c r="M43" s="73"/>
    </row>
    <row r="44" spans="2:13" s="4" customFormat="1" ht="18" customHeight="1" x14ac:dyDescent="0.3">
      <c r="B44" s="57" t="s">
        <v>35</v>
      </c>
      <c r="D44" s="23"/>
      <c r="E44" s="23"/>
      <c r="F44" s="59" t="str" cm="1">
        <f t="array" aca="1" ref="F44" ca="1">_xll.SNL.Clients.Office.Excel.Functions.SPG($F$3,"SP_PRICE_TARGET",$F$6,"Options: NA=NA,Curr="&amp;$F$4)</f>
        <v>#PEND</v>
      </c>
      <c r="H44" s="66"/>
    </row>
    <row r="45" spans="2:13" s="4" customFormat="1" ht="18" customHeight="1" x14ac:dyDescent="0.3">
      <c r="B45" s="60" t="s">
        <v>36</v>
      </c>
      <c r="D45" s="23"/>
      <c r="E45" s="23"/>
      <c r="F45" s="112" t="str">
        <f ca="1">IFERROR(F44/F16-1,"na ")</f>
        <v xml:space="preserve">na </v>
      </c>
      <c r="H45" s="66"/>
    </row>
    <row r="46" spans="2:13" s="4" customFormat="1" ht="18" customHeight="1" x14ac:dyDescent="0.3">
      <c r="B46" s="111"/>
      <c r="C46" s="10"/>
      <c r="D46" s="22"/>
      <c r="E46" s="22"/>
      <c r="F46" s="22"/>
      <c r="H46" s="66"/>
    </row>
    <row r="47" spans="2:13" s="4" customFormat="1" ht="18" customHeight="1" x14ac:dyDescent="0.3">
      <c r="B47" s="111" t="s">
        <v>31</v>
      </c>
      <c r="C47" s="10"/>
      <c r="D47" s="114" t="str" cm="1">
        <f t="array" aca="1" ref="D47" ca="1">_xll.SNL.Clients.Office.Excel.Functions.SPG($F$3,"IQ_REV",D$33,$F$6,"Options:Mag=Millions,NA=NA,Curr="&amp;$F$5)</f>
        <v>#PEND</v>
      </c>
      <c r="E47" s="114" t="str" cm="1">
        <f t="array" aca="1" ref="E47" ca="1">_xll.SNL.Clients.Office.Excel.Functions.SPG($F$3,"SP_REV_EST",E$33,$F$6,"Options:Mag=Millions,NA=NA,Curr="&amp;$F$5)</f>
        <v>#PEND</v>
      </c>
      <c r="F47" s="114" t="str" cm="1">
        <f t="array" aca="1" ref="F47" ca="1">_xll.SNL.Clients.Office.Excel.Functions.SPG($F$3,"SP_REV_EST",F$33,$F$6,"Options:Mag=Millions,NA=NA,Curr="&amp;$F$5)</f>
        <v>#PEND</v>
      </c>
      <c r="H47" s="66"/>
    </row>
    <row r="48" spans="2:13" s="4" customFormat="1" ht="18" customHeight="1" x14ac:dyDescent="0.3">
      <c r="B48" s="111" t="s">
        <v>44</v>
      </c>
      <c r="C48" s="10"/>
      <c r="D48" s="114" t="str" cm="1">
        <f t="array" aca="1" ref="D48" ca="1">_xll.SNL.Clients.Office.Excel.Functions.SPG($F$3,"SP_EBITDA",D$33,$F$6,"Options:Mag=Millions,NA=NA,Curr="&amp;$F$5)</f>
        <v>#PEND</v>
      </c>
      <c r="E48" s="114" t="str" cm="1">
        <f t="array" aca="1" ref="E48" ca="1">_xll.SNL.Clients.Office.Excel.Functions.SPG($F$3,"SP_EBITDA_EST",E$33,$F$6,"Options:Mag=Millions,NA=NA,Curr="&amp;$F$5)</f>
        <v>#PEND</v>
      </c>
      <c r="F48" s="114" t="str" cm="1">
        <f t="array" aca="1" ref="F48" ca="1">_xll.SNL.Clients.Office.Excel.Functions.SPG($F$3,"SP_EBITDA_EST",F$33,$F$6,"Options:Mag=Millions,NA=NA,Curr="&amp;$F$5)</f>
        <v>#PEND</v>
      </c>
      <c r="H48" s="66"/>
    </row>
    <row r="49" spans="2:8" s="4" customFormat="1" ht="18" customHeight="1" x14ac:dyDescent="0.3">
      <c r="B49" s="12"/>
      <c r="C49" s="10"/>
      <c r="D49" s="61"/>
      <c r="E49" s="61"/>
      <c r="F49" s="61"/>
      <c r="H49" s="66"/>
    </row>
    <row r="50" spans="2:8" s="4" customFormat="1" ht="15" customHeight="1" thickBot="1" x14ac:dyDescent="0.35">
      <c r="B50" s="79" t="s">
        <v>52</v>
      </c>
      <c r="C50" s="80"/>
      <c r="D50" s="80"/>
      <c r="E50" s="80"/>
      <c r="F50" s="80"/>
      <c r="H50" s="66"/>
    </row>
    <row r="51" spans="2:8" s="4" customFormat="1" ht="15" customHeight="1" x14ac:dyDescent="0.3">
      <c r="B51" s="81" t="s">
        <v>9</v>
      </c>
      <c r="C51" s="83"/>
      <c r="D51" s="83"/>
      <c r="E51" s="83" t="s">
        <v>0</v>
      </c>
      <c r="F51" s="84" t="s">
        <v>10</v>
      </c>
      <c r="H51" s="66"/>
    </row>
    <row r="52" spans="2:8" s="4" customFormat="1" ht="15" customHeight="1" x14ac:dyDescent="0.3">
      <c r="B52" s="77" t="s">
        <v>26</v>
      </c>
      <c r="D52" s="13"/>
      <c r="E52" s="31"/>
      <c r="F52" s="48"/>
      <c r="H52" s="66"/>
    </row>
    <row r="53" spans="2:8" s="4" customFormat="1" ht="15" customHeight="1" x14ac:dyDescent="0.3">
      <c r="B53" s="77" t="s">
        <v>25</v>
      </c>
      <c r="D53" s="13"/>
      <c r="E53" s="31"/>
      <c r="F53" s="48"/>
      <c r="H53" s="66"/>
    </row>
    <row r="54" spans="2:8" s="4" customFormat="1" ht="15" customHeight="1" x14ac:dyDescent="0.3">
      <c r="B54" s="12"/>
      <c r="D54" s="13"/>
      <c r="E54" s="13"/>
      <c r="F54" s="23"/>
      <c r="H54" s="66"/>
    </row>
    <row r="55" spans="2:8" s="4" customFormat="1" ht="15" customHeight="1" thickBot="1" x14ac:dyDescent="0.35">
      <c r="B55" s="79" t="s">
        <v>37</v>
      </c>
      <c r="C55" s="80"/>
      <c r="D55" s="80"/>
      <c r="E55" s="80"/>
      <c r="F55" s="80"/>
      <c r="H55" s="66"/>
    </row>
    <row r="56" spans="2:8" s="4" customFormat="1" ht="15" customHeight="1" x14ac:dyDescent="0.3">
      <c r="B56" s="81" t="s">
        <v>9</v>
      </c>
      <c r="C56" s="83" t="s">
        <v>10</v>
      </c>
      <c r="D56" s="83" t="s">
        <v>11</v>
      </c>
      <c r="E56" s="83" t="s">
        <v>12</v>
      </c>
      <c r="F56" s="84" t="s">
        <v>13</v>
      </c>
      <c r="H56" s="66"/>
    </row>
    <row r="57" spans="2:8" s="4" customFormat="1" ht="15" customHeight="1" x14ac:dyDescent="0.3">
      <c r="B57" s="24"/>
      <c r="C57" s="25"/>
      <c r="D57" s="26"/>
      <c r="E57" s="45">
        <f ca="1">IF(D57&lt;F$16,C57,0)</f>
        <v>0</v>
      </c>
      <c r="F57" s="44">
        <f ca="1">E57*D57</f>
        <v>0</v>
      </c>
      <c r="H57" s="66"/>
    </row>
    <row r="58" spans="2:8" s="4" customFormat="1" ht="15" customHeight="1" x14ac:dyDescent="0.3">
      <c r="B58" s="24"/>
      <c r="C58" s="25"/>
      <c r="D58" s="26"/>
      <c r="E58" s="45">
        <f t="shared" ref="E58:E72" ca="1" si="3">IF(D58&lt;F$16,C58,0)</f>
        <v>0</v>
      </c>
      <c r="F58" s="44">
        <f t="shared" ref="F58:F72" ca="1" si="4">E58*D58</f>
        <v>0</v>
      </c>
      <c r="H58" s="71"/>
    </row>
    <row r="59" spans="2:8" s="4" customFormat="1" ht="15" customHeight="1" x14ac:dyDescent="0.3">
      <c r="B59" s="24"/>
      <c r="C59" s="25"/>
      <c r="D59" s="26"/>
      <c r="E59" s="45">
        <f t="shared" ca="1" si="3"/>
        <v>0</v>
      </c>
      <c r="F59" s="44">
        <f t="shared" ca="1" si="4"/>
        <v>0</v>
      </c>
      <c r="H59" s="71"/>
    </row>
    <row r="60" spans="2:8" s="4" customFormat="1" ht="15" customHeight="1" x14ac:dyDescent="0.3">
      <c r="B60" s="24"/>
      <c r="C60" s="25"/>
      <c r="D60" s="26"/>
      <c r="E60" s="45">
        <f t="shared" ca="1" si="3"/>
        <v>0</v>
      </c>
      <c r="F60" s="44">
        <f t="shared" ca="1" si="4"/>
        <v>0</v>
      </c>
      <c r="H60" s="66"/>
    </row>
    <row r="61" spans="2:8" s="4" customFormat="1" ht="15" customHeight="1" x14ac:dyDescent="0.3">
      <c r="B61" s="24"/>
      <c r="C61" s="25"/>
      <c r="D61" s="26"/>
      <c r="E61" s="45">
        <f t="shared" ca="1" si="3"/>
        <v>0</v>
      </c>
      <c r="F61" s="44">
        <f t="shared" ca="1" si="4"/>
        <v>0</v>
      </c>
      <c r="H61" s="66"/>
    </row>
    <row r="62" spans="2:8" s="4" customFormat="1" ht="15" customHeight="1" x14ac:dyDescent="0.3">
      <c r="B62" s="24"/>
      <c r="C62" s="25"/>
      <c r="D62" s="26"/>
      <c r="E62" s="45">
        <f t="shared" ca="1" si="3"/>
        <v>0</v>
      </c>
      <c r="F62" s="44">
        <f t="shared" ca="1" si="4"/>
        <v>0</v>
      </c>
      <c r="H62" s="66"/>
    </row>
    <row r="63" spans="2:8" s="4" customFormat="1" ht="15" customHeight="1" x14ac:dyDescent="0.3">
      <c r="B63" s="24"/>
      <c r="C63" s="25"/>
      <c r="D63" s="26"/>
      <c r="E63" s="45">
        <f t="shared" ca="1" si="3"/>
        <v>0</v>
      </c>
      <c r="F63" s="44">
        <f t="shared" ca="1" si="4"/>
        <v>0</v>
      </c>
      <c r="H63" s="66"/>
    </row>
    <row r="64" spans="2:8" s="4" customFormat="1" ht="15" customHeight="1" x14ac:dyDescent="0.3">
      <c r="B64" s="24"/>
      <c r="C64" s="25"/>
      <c r="D64" s="26"/>
      <c r="E64" s="45">
        <f t="shared" ca="1" si="3"/>
        <v>0</v>
      </c>
      <c r="F64" s="44">
        <f t="shared" ca="1" si="4"/>
        <v>0</v>
      </c>
      <c r="H64" s="66"/>
    </row>
    <row r="65" spans="2:17" ht="15" customHeight="1" x14ac:dyDescent="0.3">
      <c r="B65" s="24"/>
      <c r="C65" s="25"/>
      <c r="D65" s="26"/>
      <c r="E65" s="45">
        <f t="shared" ca="1" si="3"/>
        <v>0</v>
      </c>
      <c r="F65" s="44">
        <f t="shared" ca="1" si="4"/>
        <v>0</v>
      </c>
    </row>
    <row r="66" spans="2:17" ht="15" customHeight="1" x14ac:dyDescent="0.3">
      <c r="B66" s="24"/>
      <c r="C66" s="25"/>
      <c r="D66" s="26"/>
      <c r="E66" s="45">
        <f t="shared" ca="1" si="3"/>
        <v>0</v>
      </c>
      <c r="F66" s="44">
        <f t="shared" ca="1" si="4"/>
        <v>0</v>
      </c>
    </row>
    <row r="67" spans="2:17" ht="15" customHeight="1" x14ac:dyDescent="0.3">
      <c r="B67" s="24"/>
      <c r="C67" s="25"/>
      <c r="D67" s="26"/>
      <c r="E67" s="45">
        <f ca="1">IF(D67&lt;F$16,C67,0)</f>
        <v>0</v>
      </c>
      <c r="F67" s="44">
        <f t="shared" ca="1" si="4"/>
        <v>0</v>
      </c>
    </row>
    <row r="68" spans="2:17" ht="15" customHeight="1" x14ac:dyDescent="0.3">
      <c r="B68" s="24"/>
      <c r="C68" s="25"/>
      <c r="D68" s="26"/>
      <c r="E68" s="45">
        <f t="shared" ref="E68:E71" ca="1" si="5">IF(D68&lt;F$16,C68,0)</f>
        <v>0</v>
      </c>
      <c r="F68" s="44">
        <f t="shared" ca="1" si="4"/>
        <v>0</v>
      </c>
    </row>
    <row r="69" spans="2:17" ht="15" customHeight="1" x14ac:dyDescent="0.3">
      <c r="B69" s="24"/>
      <c r="C69" s="25"/>
      <c r="D69" s="26"/>
      <c r="E69" s="45">
        <f t="shared" ca="1" si="5"/>
        <v>0</v>
      </c>
      <c r="F69" s="44">
        <f t="shared" ca="1" si="4"/>
        <v>0</v>
      </c>
    </row>
    <row r="70" spans="2:17" ht="15" customHeight="1" x14ac:dyDescent="0.3">
      <c r="B70" s="24"/>
      <c r="C70" s="25"/>
      <c r="D70" s="26"/>
      <c r="E70" s="45">
        <f t="shared" ca="1" si="5"/>
        <v>0</v>
      </c>
      <c r="F70" s="44">
        <f t="shared" ca="1" si="4"/>
        <v>0</v>
      </c>
    </row>
    <row r="71" spans="2:17" ht="15" customHeight="1" x14ac:dyDescent="0.3">
      <c r="B71" s="24"/>
      <c r="C71" s="25"/>
      <c r="D71" s="26"/>
      <c r="E71" s="45">
        <f t="shared" ca="1" si="5"/>
        <v>0</v>
      </c>
      <c r="F71" s="44">
        <f t="shared" ca="1" si="4"/>
        <v>0</v>
      </c>
    </row>
    <row r="72" spans="2:17" ht="15" customHeight="1" x14ac:dyDescent="0.3">
      <c r="B72" s="24"/>
      <c r="C72" s="25"/>
      <c r="D72" s="26"/>
      <c r="E72" s="45">
        <f t="shared" ca="1" si="3"/>
        <v>0</v>
      </c>
      <c r="F72" s="44">
        <f t="shared" ca="1" si="4"/>
        <v>0</v>
      </c>
    </row>
    <row r="73" spans="2:17" s="10" customFormat="1" ht="15" customHeight="1" x14ac:dyDescent="0.3">
      <c r="B73" s="27" t="s">
        <v>14</v>
      </c>
      <c r="C73" s="27"/>
      <c r="D73" s="27"/>
      <c r="E73" s="55">
        <f ca="1">SUM(E57:E72)</f>
        <v>0</v>
      </c>
      <c r="F73" s="47">
        <f ca="1">SUM(F57:F72)</f>
        <v>0</v>
      </c>
      <c r="H73" s="70"/>
      <c r="Q73" s="28"/>
    </row>
    <row r="75" spans="2:17" ht="15" customHeight="1" x14ac:dyDescent="0.3">
      <c r="B75" s="4" t="s">
        <v>15</v>
      </c>
      <c r="F75" s="45">
        <f ca="1">E73</f>
        <v>0</v>
      </c>
    </row>
    <row r="76" spans="2:17" ht="15" customHeight="1" x14ac:dyDescent="0.3">
      <c r="B76" s="17" t="s">
        <v>16</v>
      </c>
      <c r="C76" s="17"/>
      <c r="D76" s="17"/>
      <c r="E76" s="17"/>
      <c r="F76" s="52" t="e">
        <f ca="1">-F73/F16</f>
        <v>#VALUE!</v>
      </c>
    </row>
    <row r="77" spans="2:17" s="10" customFormat="1" ht="15" customHeight="1" x14ac:dyDescent="0.3">
      <c r="B77" s="27" t="s">
        <v>17</v>
      </c>
      <c r="C77" s="27"/>
      <c r="D77" s="27"/>
      <c r="E77" s="27"/>
      <c r="F77" s="55" t="e">
        <f ca="1">SUM(F75:F76)</f>
        <v>#VALUE!</v>
      </c>
      <c r="H77" s="70"/>
      <c r="Q77" s="28"/>
    </row>
    <row r="79" spans="2:17" ht="15" customHeight="1" thickBot="1" x14ac:dyDescent="0.35">
      <c r="B79" s="79" t="s">
        <v>47</v>
      </c>
      <c r="C79" s="80"/>
      <c r="D79" s="80"/>
      <c r="E79" s="80"/>
      <c r="F79" s="80"/>
    </row>
    <row r="80" spans="2:17" ht="15" customHeight="1" x14ac:dyDescent="0.3">
      <c r="B80" s="81" t="s">
        <v>9</v>
      </c>
      <c r="C80" s="83" t="s">
        <v>10</v>
      </c>
      <c r="D80" s="83" t="s">
        <v>53</v>
      </c>
      <c r="E80" s="83" t="s">
        <v>11</v>
      </c>
      <c r="F80" s="84" t="s">
        <v>12</v>
      </c>
    </row>
    <row r="81" spans="2:17" ht="15" customHeight="1" x14ac:dyDescent="0.3">
      <c r="B81" s="24"/>
      <c r="C81" s="48"/>
      <c r="D81" s="85"/>
      <c r="E81" s="53"/>
      <c r="F81" s="45">
        <f t="shared" ref="F81:F86" ca="1" si="6">IF(E81&lt;F$16,(C81/1000)*D81,0)</f>
        <v>0</v>
      </c>
    </row>
    <row r="82" spans="2:17" ht="15" customHeight="1" x14ac:dyDescent="0.3">
      <c r="B82" s="24"/>
      <c r="C82" s="48"/>
      <c r="D82" s="54"/>
      <c r="E82" s="53"/>
      <c r="F82" s="45">
        <f ca="1">IF(E82&lt;F$16,(C82/1000)*D82,0)</f>
        <v>0</v>
      </c>
    </row>
    <row r="83" spans="2:17" ht="15" customHeight="1" x14ac:dyDescent="0.3">
      <c r="B83" s="24"/>
      <c r="C83" s="48"/>
      <c r="D83" s="54"/>
      <c r="E83" s="53"/>
      <c r="F83" s="45">
        <f ca="1">IF(E83&lt;F$16,(C83/1000)*D83,0)</f>
        <v>0</v>
      </c>
    </row>
    <row r="84" spans="2:17" ht="15" customHeight="1" x14ac:dyDescent="0.3">
      <c r="B84" s="24"/>
      <c r="C84" s="48"/>
      <c r="D84" s="54"/>
      <c r="E84" s="53"/>
      <c r="F84" s="45">
        <f t="shared" ca="1" si="6"/>
        <v>0</v>
      </c>
    </row>
    <row r="85" spans="2:17" ht="15" customHeight="1" x14ac:dyDescent="0.3">
      <c r="B85" s="24"/>
      <c r="C85" s="48"/>
      <c r="D85" s="54"/>
      <c r="E85" s="53"/>
      <c r="F85" s="45">
        <f t="shared" ca="1" si="6"/>
        <v>0</v>
      </c>
    </row>
    <row r="86" spans="2:17" ht="15" customHeight="1" x14ac:dyDescent="0.3">
      <c r="B86" s="24"/>
      <c r="C86" s="48"/>
      <c r="D86" s="54"/>
      <c r="E86" s="53"/>
      <c r="F86" s="45">
        <f t="shared" ca="1" si="6"/>
        <v>0</v>
      </c>
    </row>
    <row r="87" spans="2:17" s="10" customFormat="1" ht="15" customHeight="1" x14ac:dyDescent="0.3">
      <c r="B87" s="27" t="s">
        <v>18</v>
      </c>
      <c r="C87" s="27"/>
      <c r="D87" s="27"/>
      <c r="E87" s="27"/>
      <c r="F87" s="55">
        <f ca="1">SUM(F81:F86)</f>
        <v>0</v>
      </c>
      <c r="H87" s="70"/>
      <c r="Q87" s="28"/>
    </row>
    <row r="89" spans="2:17" ht="15" customHeight="1" thickBot="1" x14ac:dyDescent="0.35">
      <c r="B89" s="79" t="s">
        <v>19</v>
      </c>
      <c r="C89" s="80"/>
      <c r="D89" s="80"/>
      <c r="E89" s="80"/>
      <c r="F89" s="80"/>
    </row>
    <row r="90" spans="2:17" ht="15" customHeight="1" x14ac:dyDescent="0.3">
      <c r="B90" s="81" t="s">
        <v>9</v>
      </c>
      <c r="C90" s="82"/>
      <c r="D90" s="82"/>
      <c r="E90" s="83" t="s">
        <v>0</v>
      </c>
      <c r="F90" s="84" t="s">
        <v>10</v>
      </c>
    </row>
    <row r="91" spans="2:17" ht="15" customHeight="1" x14ac:dyDescent="0.3">
      <c r="B91" s="24"/>
      <c r="C91" s="29"/>
      <c r="D91" s="30"/>
      <c r="E91" s="31"/>
      <c r="F91" s="48"/>
    </row>
    <row r="92" spans="2:17" ht="15" customHeight="1" x14ac:dyDescent="0.3">
      <c r="B92" s="24"/>
      <c r="C92" s="29"/>
      <c r="D92" s="30"/>
      <c r="E92" s="31"/>
      <c r="F92" s="48"/>
    </row>
    <row r="93" spans="2:17" ht="15" customHeight="1" x14ac:dyDescent="0.3">
      <c r="B93" s="75"/>
      <c r="C93" s="29"/>
      <c r="D93" s="30"/>
      <c r="E93" s="31"/>
      <c r="F93" s="48"/>
    </row>
    <row r="94" spans="2:17" ht="15" customHeight="1" x14ac:dyDescent="0.3">
      <c r="B94" s="24"/>
      <c r="C94" s="29"/>
      <c r="D94" s="30"/>
      <c r="E94" s="31"/>
      <c r="F94" s="48"/>
    </row>
    <row r="95" spans="2:17" ht="15" customHeight="1" x14ac:dyDescent="0.3">
      <c r="B95" s="24"/>
      <c r="C95" s="29"/>
      <c r="D95" s="30"/>
      <c r="E95" s="31"/>
      <c r="F95" s="48"/>
      <c r="H95" s="4"/>
    </row>
    <row r="96" spans="2:17" ht="15" customHeight="1" x14ac:dyDescent="0.3">
      <c r="B96" s="24"/>
      <c r="C96" s="29"/>
      <c r="D96" s="30"/>
      <c r="E96" s="31"/>
      <c r="F96" s="48"/>
    </row>
    <row r="97" spans="2:17" ht="15" customHeight="1" x14ac:dyDescent="0.3">
      <c r="B97" s="24"/>
      <c r="C97" s="29"/>
      <c r="D97" s="30"/>
      <c r="E97" s="31"/>
      <c r="F97" s="48"/>
    </row>
    <row r="98" spans="2:17" ht="15" customHeight="1" x14ac:dyDescent="0.3">
      <c r="B98" s="24"/>
      <c r="C98" s="29"/>
      <c r="D98" s="30"/>
      <c r="E98" s="32"/>
      <c r="F98" s="48"/>
    </row>
    <row r="99" spans="2:17" s="10" customFormat="1" ht="15" customHeight="1" x14ac:dyDescent="0.3">
      <c r="B99" s="74" t="s">
        <v>20</v>
      </c>
      <c r="C99" s="27"/>
      <c r="D99" s="27"/>
      <c r="E99" s="27"/>
      <c r="F99" s="47">
        <f>SUM(F91:F98)</f>
        <v>0</v>
      </c>
      <c r="H99" s="70"/>
      <c r="Q99" s="28"/>
    </row>
    <row r="100" spans="2:17" s="10" customFormat="1" ht="15" customHeight="1" x14ac:dyDescent="0.3">
      <c r="F100" s="64"/>
      <c r="H100" s="70"/>
      <c r="Q100" s="28"/>
    </row>
    <row r="101" spans="2:17" s="10" customFormat="1" ht="15" customHeight="1" thickBot="1" x14ac:dyDescent="0.35">
      <c r="B101" s="79" t="s">
        <v>39</v>
      </c>
      <c r="C101" s="80"/>
      <c r="D101" s="80"/>
      <c r="E101" s="80"/>
      <c r="F101" s="80"/>
      <c r="H101" s="70"/>
      <c r="Q101" s="28"/>
    </row>
    <row r="102" spans="2:17" s="10" customFormat="1" ht="15" customHeight="1" x14ac:dyDescent="0.3">
      <c r="B102" s="81" t="s">
        <v>9</v>
      </c>
      <c r="C102" s="82"/>
      <c r="D102" s="82"/>
      <c r="E102" s="83" t="s">
        <v>0</v>
      </c>
      <c r="F102" s="83" t="s">
        <v>10</v>
      </c>
      <c r="H102" s="70"/>
      <c r="Q102" s="28"/>
    </row>
    <row r="103" spans="2:17" s="10" customFormat="1" ht="15" customHeight="1" x14ac:dyDescent="0.3">
      <c r="B103" s="24"/>
      <c r="C103" s="29"/>
      <c r="D103" s="30"/>
      <c r="E103" s="31"/>
      <c r="F103" s="48"/>
      <c r="H103" s="66"/>
      <c r="Q103" s="28"/>
    </row>
    <row r="104" spans="2:17" s="10" customFormat="1" ht="15" customHeight="1" x14ac:dyDescent="0.3">
      <c r="B104" s="24"/>
      <c r="C104" s="29"/>
      <c r="D104" s="30"/>
      <c r="E104" s="31"/>
      <c r="F104" s="48"/>
      <c r="H104" s="66"/>
      <c r="Q104" s="28"/>
    </row>
    <row r="105" spans="2:17" s="10" customFormat="1" ht="15" customHeight="1" x14ac:dyDescent="0.3">
      <c r="B105" s="24"/>
      <c r="C105" s="29"/>
      <c r="D105" s="30"/>
      <c r="E105" s="31"/>
      <c r="F105" s="48"/>
      <c r="H105" s="66"/>
      <c r="Q105" s="28"/>
    </row>
    <row r="106" spans="2:17" s="10" customFormat="1" ht="15" customHeight="1" x14ac:dyDescent="0.3">
      <c r="B106" s="24"/>
      <c r="C106" s="29"/>
      <c r="D106" s="30"/>
      <c r="E106" s="31"/>
      <c r="F106" s="48"/>
      <c r="H106" s="70"/>
      <c r="Q106" s="28"/>
    </row>
    <row r="107" spans="2:17" s="10" customFormat="1" ht="15" customHeight="1" x14ac:dyDescent="0.3">
      <c r="B107" s="24"/>
      <c r="C107" s="29"/>
      <c r="D107" s="30"/>
      <c r="E107" s="31"/>
      <c r="F107" s="48"/>
      <c r="H107" s="70"/>
      <c r="Q107" s="28"/>
    </row>
    <row r="108" spans="2:17" s="10" customFormat="1" ht="15" customHeight="1" x14ac:dyDescent="0.3">
      <c r="B108" s="24"/>
      <c r="C108" s="29"/>
      <c r="D108" s="30"/>
      <c r="E108" s="31"/>
      <c r="F108" s="48"/>
      <c r="H108" s="70"/>
      <c r="Q108" s="28"/>
    </row>
    <row r="109" spans="2:17" s="10" customFormat="1" ht="15" customHeight="1" x14ac:dyDescent="0.3">
      <c r="B109" s="24"/>
      <c r="C109" s="29"/>
      <c r="D109" s="30"/>
      <c r="E109" s="31"/>
      <c r="F109" s="48"/>
      <c r="H109" s="70"/>
      <c r="Q109" s="28"/>
    </row>
    <row r="110" spans="2:17" s="10" customFormat="1" ht="15" customHeight="1" x14ac:dyDescent="0.3">
      <c r="B110" s="24"/>
      <c r="C110" s="29"/>
      <c r="D110" s="30"/>
      <c r="E110" s="32"/>
      <c r="F110" s="48"/>
      <c r="H110" s="70"/>
      <c r="Q110" s="28"/>
    </row>
    <row r="111" spans="2:17" s="10" customFormat="1" ht="15" customHeight="1" x14ac:dyDescent="0.3">
      <c r="B111" s="27" t="s">
        <v>20</v>
      </c>
      <c r="C111" s="27"/>
      <c r="D111" s="27"/>
      <c r="E111" s="27"/>
      <c r="F111" s="47">
        <f>SUM(F103:F110)</f>
        <v>0</v>
      </c>
      <c r="H111" s="70"/>
      <c r="Q111" s="28"/>
    </row>
    <row r="113" spans="2:17" ht="15" customHeight="1" thickBot="1" x14ac:dyDescent="0.35">
      <c r="B113" s="79" t="s">
        <v>40</v>
      </c>
      <c r="C113" s="80"/>
      <c r="D113" s="80"/>
      <c r="E113" s="80"/>
      <c r="F113" s="80"/>
    </row>
    <row r="114" spans="2:17" ht="15" customHeight="1" x14ac:dyDescent="0.3">
      <c r="B114" s="81" t="s">
        <v>9</v>
      </c>
      <c r="C114" s="82"/>
      <c r="D114" s="82"/>
      <c r="E114" s="83" t="s">
        <v>0</v>
      </c>
      <c r="F114" s="83" t="s">
        <v>10</v>
      </c>
    </row>
    <row r="115" spans="2:17" ht="15" customHeight="1" x14ac:dyDescent="0.3">
      <c r="B115" s="24"/>
      <c r="C115" s="29"/>
      <c r="D115" s="30"/>
      <c r="E115" s="31"/>
      <c r="F115" s="48"/>
    </row>
    <row r="116" spans="2:17" ht="15" customHeight="1" x14ac:dyDescent="0.3">
      <c r="B116" s="33"/>
      <c r="C116" s="34"/>
      <c r="D116" s="35"/>
      <c r="E116" s="36"/>
      <c r="F116" s="48"/>
    </row>
    <row r="117" spans="2:17" ht="15" customHeight="1" x14ac:dyDescent="0.3">
      <c r="B117" s="33"/>
      <c r="C117" s="29"/>
      <c r="D117" s="30"/>
      <c r="E117" s="36"/>
      <c r="F117" s="48"/>
    </row>
    <row r="118" spans="2:17" ht="15" customHeight="1" x14ac:dyDescent="0.3">
      <c r="B118" s="33"/>
      <c r="C118" s="29"/>
      <c r="D118" s="30"/>
      <c r="E118" s="36"/>
      <c r="F118" s="48"/>
    </row>
    <row r="119" spans="2:17" ht="15" customHeight="1" x14ac:dyDescent="0.3">
      <c r="B119" s="33"/>
      <c r="C119" s="29"/>
      <c r="D119" s="30"/>
      <c r="E119" s="36"/>
      <c r="F119" s="48"/>
    </row>
    <row r="120" spans="2:17" ht="15" customHeight="1" x14ac:dyDescent="0.3">
      <c r="B120" s="33"/>
      <c r="C120" s="29"/>
      <c r="D120" s="30"/>
      <c r="E120" s="36"/>
      <c r="F120" s="48"/>
    </row>
    <row r="121" spans="2:17" ht="15" customHeight="1" x14ac:dyDescent="0.3">
      <c r="B121" s="24"/>
      <c r="C121" s="29"/>
      <c r="D121" s="30"/>
      <c r="E121" s="32"/>
      <c r="F121" s="48"/>
    </row>
    <row r="122" spans="2:17" ht="15" customHeight="1" x14ac:dyDescent="0.3">
      <c r="B122" s="24"/>
      <c r="C122" s="29"/>
      <c r="D122" s="30"/>
      <c r="E122" s="32"/>
      <c r="F122" s="49"/>
    </row>
    <row r="123" spans="2:17" s="10" customFormat="1" ht="15" customHeight="1" x14ac:dyDescent="0.3">
      <c r="B123" s="27" t="s">
        <v>21</v>
      </c>
      <c r="C123" s="27"/>
      <c r="D123" s="27"/>
      <c r="E123" s="27"/>
      <c r="F123" s="47">
        <f>SUM(F115:F122)</f>
        <v>0</v>
      </c>
      <c r="H123" s="70"/>
      <c r="Q123" s="28"/>
    </row>
    <row r="125" spans="2:17" ht="15" customHeight="1" thickBot="1" x14ac:dyDescent="0.35">
      <c r="B125" s="79" t="s">
        <v>41</v>
      </c>
      <c r="C125" s="80"/>
      <c r="D125" s="80"/>
      <c r="E125" s="80"/>
      <c r="F125" s="80"/>
    </row>
    <row r="126" spans="2:17" ht="15" customHeight="1" x14ac:dyDescent="0.3">
      <c r="B126" s="81" t="s">
        <v>22</v>
      </c>
      <c r="C126" s="82"/>
      <c r="D126" s="82"/>
      <c r="E126" s="83" t="s">
        <v>0</v>
      </c>
      <c r="F126" s="83" t="s">
        <v>10</v>
      </c>
    </row>
    <row r="127" spans="2:17" ht="15" customHeight="1" x14ac:dyDescent="0.3">
      <c r="B127" s="33"/>
      <c r="C127" s="34"/>
      <c r="D127" s="35"/>
      <c r="E127" s="31"/>
      <c r="F127" s="50"/>
    </row>
    <row r="128" spans="2:17" ht="15" customHeight="1" x14ac:dyDescent="0.3">
      <c r="B128" s="33"/>
      <c r="C128" s="34"/>
      <c r="D128" s="35"/>
      <c r="E128" s="36"/>
      <c r="F128" s="37"/>
    </row>
    <row r="129" spans="1:7" s="4" customFormat="1" ht="15" customHeight="1" x14ac:dyDescent="0.3">
      <c r="B129" s="24"/>
      <c r="C129" s="34"/>
      <c r="D129" s="35"/>
      <c r="E129" s="36"/>
      <c r="F129" s="37"/>
    </row>
    <row r="130" spans="1:7" s="4" customFormat="1" ht="15" customHeight="1" x14ac:dyDescent="0.3">
      <c r="B130" s="24"/>
      <c r="C130" s="34"/>
      <c r="D130" s="35"/>
      <c r="E130" s="36"/>
      <c r="F130" s="37"/>
    </row>
    <row r="131" spans="1:7" s="4" customFormat="1" ht="15" customHeight="1" x14ac:dyDescent="0.3">
      <c r="B131" s="33"/>
      <c r="C131" s="34"/>
      <c r="D131" s="35"/>
      <c r="E131" s="36"/>
      <c r="F131" s="37"/>
    </row>
    <row r="132" spans="1:7" s="4" customFormat="1" ht="15" customHeight="1" x14ac:dyDescent="0.3">
      <c r="B132" s="33"/>
      <c r="C132" s="34"/>
      <c r="D132" s="35"/>
      <c r="E132" s="36"/>
      <c r="F132" s="37"/>
    </row>
    <row r="133" spans="1:7" s="4" customFormat="1" ht="15" customHeight="1" x14ac:dyDescent="0.3">
      <c r="B133" s="33"/>
      <c r="C133" s="34"/>
      <c r="D133" s="35"/>
      <c r="E133" s="36"/>
      <c r="F133" s="37"/>
    </row>
    <row r="134" spans="1:7" s="4" customFormat="1" ht="15" customHeight="1" x14ac:dyDescent="0.3">
      <c r="B134" s="33"/>
      <c r="C134" s="34"/>
      <c r="D134" s="35"/>
      <c r="E134" s="36"/>
      <c r="F134" s="37"/>
    </row>
    <row r="135" spans="1:7" s="4" customFormat="1" ht="15" customHeight="1" x14ac:dyDescent="0.3">
      <c r="B135" s="33"/>
      <c r="C135" s="34"/>
      <c r="D135" s="35"/>
      <c r="E135" s="36"/>
      <c r="F135" s="37"/>
    </row>
    <row r="136" spans="1:7" s="4" customFormat="1" ht="15" customHeight="1" x14ac:dyDescent="0.3">
      <c r="B136" s="33"/>
      <c r="C136" s="34"/>
      <c r="D136" s="35"/>
      <c r="E136" s="36"/>
      <c r="F136" s="37"/>
    </row>
    <row r="137" spans="1:7" s="4" customFormat="1" ht="15" customHeight="1" x14ac:dyDescent="0.3">
      <c r="B137" s="38" t="s">
        <v>23</v>
      </c>
      <c r="C137" s="38"/>
      <c r="D137" s="38"/>
      <c r="E137" s="38"/>
      <c r="F137" s="51">
        <f>SUM(F127:F136)</f>
        <v>0</v>
      </c>
    </row>
    <row r="138" spans="1:7" s="4" customFormat="1" ht="15" customHeight="1" x14ac:dyDescent="0.3">
      <c r="A138" s="4" t="s">
        <v>63</v>
      </c>
      <c r="B138" s="39"/>
      <c r="C138" s="39"/>
      <c r="D138" s="39"/>
      <c r="E138" s="39"/>
      <c r="F138" s="40"/>
      <c r="G138" s="4" t="s">
        <v>63</v>
      </c>
    </row>
    <row r="139" spans="1:7" s="4" customFormat="1" ht="15" customHeight="1" x14ac:dyDescent="0.3">
      <c r="B139" s="1"/>
      <c r="C139" s="1"/>
      <c r="D139" s="1"/>
      <c r="E139" s="1"/>
      <c r="F139" s="41"/>
    </row>
    <row r="140" spans="1:7" s="4" customFormat="1" ht="15" customHeight="1" x14ac:dyDescent="0.3">
      <c r="B140" s="42"/>
      <c r="C140" s="1"/>
      <c r="D140" s="1"/>
      <c r="E140" s="1"/>
      <c r="F140" s="43"/>
    </row>
    <row r="141" spans="1:7" s="4" customFormat="1" ht="15" customHeight="1" x14ac:dyDescent="0.3">
      <c r="B141" s="42"/>
      <c r="F141" s="46"/>
    </row>
  </sheetData>
  <conditionalFormatting sqref="F81:F87">
    <cfRule type="cellIs" dxfId="1" priority="2" operator="greaterThan">
      <formula>0</formula>
    </cfRule>
  </conditionalFormatting>
  <conditionalFormatting sqref="F141">
    <cfRule type="cellIs" dxfId="0" priority="1" operator="notBetween">
      <formula>0.1</formula>
      <formula>-0.1</formula>
    </cfRule>
  </conditionalFormatting>
  <dataValidations count="2">
    <dataValidation type="list" allowBlank="1" showInputMessage="1" showErrorMessage="1" sqref="F11" xr:uid="{0812C185-2059-4160-A956-7790D4FFE280}">
      <formula1>"ON, OFF"</formula1>
    </dataValidation>
    <dataValidation type="list" allowBlank="1" showInputMessage="1" showErrorMessage="1" sqref="F10" xr:uid="{E9F9E384-0136-469C-AAEA-1FB6B64555A8}">
      <formula1>"Treasury Stock, Gross Proceeds"</formula1>
    </dataValidation>
  </dataValidations>
  <pageMargins left="0.7" right="0.7" top="0.75" bottom="0.75" header="0.3" footer="0.3"/>
  <pageSetup scale="2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Cap with Links</vt:lpstr>
      <vt:lpstr>'Cap with Links'!Print_Area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Joey Hayes-Shaw</dc:creator>
  <cp:lastModifiedBy>Tate Wilson</cp:lastModifiedBy>
  <cp:lastPrinted>2018-05-23T01:04:50Z</cp:lastPrinted>
  <dcterms:created xsi:type="dcterms:W3CDTF">2016-12-06T00:30:15Z</dcterms:created>
  <dcterms:modified xsi:type="dcterms:W3CDTF">2026-03-18T19:13:21Z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{1FEA54FB-3A82-42EB-9874-62D277532B55}</vt:lpwstr>
  </property>
  <property fmtid="{D5CDD505-2E9C-101B-9397-08002B2CF9AE}" pid="3" name="MSIP_Label_6267e522-0091-4d88-9989-f382df9eb3cc_Enabled">
    <vt:lpwstr>true</vt:lpwstr>
  </property>
  <property fmtid="{D5CDD505-2E9C-101B-9397-08002B2CF9AE}" pid="4" name="MSIP_Label_6267e522-0091-4d88-9989-f382df9eb3cc_SetDate">
    <vt:lpwstr>2025-06-13T14:14:16Z</vt:lpwstr>
  </property>
  <property fmtid="{D5CDD505-2E9C-101B-9397-08002B2CF9AE}" pid="5" name="MSIP_Label_6267e522-0091-4d88-9989-f382df9eb3cc_Method">
    <vt:lpwstr>Privileged</vt:lpwstr>
  </property>
  <property fmtid="{D5CDD505-2E9C-101B-9397-08002B2CF9AE}" pid="6" name="MSIP_Label_6267e522-0091-4d88-9989-f382df9eb3cc_Name">
    <vt:lpwstr>General</vt:lpwstr>
  </property>
  <property fmtid="{D5CDD505-2E9C-101B-9397-08002B2CF9AE}" pid="7" name="MSIP_Label_6267e522-0091-4d88-9989-f382df9eb3cc_SiteId">
    <vt:lpwstr>8f3e36ea-8039-4b40-81a7-7dc0599e8645</vt:lpwstr>
  </property>
  <property fmtid="{D5CDD505-2E9C-101B-9397-08002B2CF9AE}" pid="8" name="MSIP_Label_6267e522-0091-4d88-9989-f382df9eb3cc_ActionId">
    <vt:lpwstr>90c098be-e58b-4980-8866-173eb276252a</vt:lpwstr>
  </property>
  <property fmtid="{D5CDD505-2E9C-101B-9397-08002B2CF9AE}" pid="9" name="MSIP_Label_6267e522-0091-4d88-9989-f382df9eb3cc_ContentBits">
    <vt:lpwstr>0</vt:lpwstr>
  </property>
  <property fmtid="{D5CDD505-2E9C-101B-9397-08002B2CF9AE}" pid="10" name="snltemplateid">
    <vt:r8>430516943</vt:r8>
  </property>
  <property fmtid="{D5CDD505-2E9C-101B-9397-08002B2CF9AE}" pid="11" name="KeyFile">
    <vt:r8>430516943</vt:r8>
  </property>
</Properties>
</file>