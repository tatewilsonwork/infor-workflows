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725"/>
  <workbookPr/>
  <mc:AlternateContent xmlns:mc="http://schemas.openxmlformats.org/markup-compatibility/2006">
    <mc:Choice Requires="x15">
      <x15ac:absPath xmlns:x15ac="http://schemas.microsoft.com/office/spreadsheetml/2010/11/ac" url="https://inforfg1-my.sharepoint.com/personal/twilson_inforfg_com/Documents/Desktop/Claude - INFOR/excel-templates/"/>
    </mc:Choice>
  </mc:AlternateContent>
  <xr:revisionPtr revIDLastSave="535" documentId="8_{44689429-9083-4319-AF07-3319705600A5}" xr6:coauthVersionLast="47" xr6:coauthVersionMax="47" xr10:uidLastSave="{2435C9DB-007F-45E8-A4CF-E7A6247EF222}"/>
  <bookViews>
    <workbookView xWindow="28680" yWindow="-120" windowWidth="29040" windowHeight="15720" firstSheet="1" activeTab="1" xr2:uid="{00000000-000D-0000-FFFF-FFFF00000000}"/>
  </bookViews>
  <sheets>
    <sheet name="__snloffice" sheetId="2" state="veryHidden" r:id="rId1"/>
    <sheet name="Comps" sheetId="1" r:id="rId2"/>
  </sheets>
  <definedNames>
    <definedName name="_______AOL2" hidden="1">{#N/A,#N/A,FALSE,"WCI - Bud - Fin. Sum. ";"Summary",#N/A,FALSE,"Summary (g)";"GM with comments",#N/A,FALSE,"GM by Client";"Program Notes",#N/A,FALSE,"Summary (g)";"Risk",#N/A,FALSE,"Summary (g)";#N/A,#N/A,FALSE,"COS by Client by CC";"GM by month",#N/A,FALSE,"GM by Client";#N/A,#N/A,FALSE,"Salaries";#N/A,#N/A,FALSE,"HO Sch 1";"Growth PL sum",#N/A,FALSE,"WCI - Bud - P&amp;L with Growth";#N/A,#N/A,FALSE,"3 CCs"}</definedName>
    <definedName name="_______FP2" hidden="1">{#N/A,#N/A,FALSE,"WCI - Bud - Fin. Sum. ";"Summary",#N/A,FALSE,"Summary (g)";"GM with comments",#N/A,FALSE,"GM by Client";"Program Notes",#N/A,FALSE,"Summary (g)";"Risk",#N/A,FALSE,"Summary (g)";#N/A,#N/A,FALSE,"COS by Client by CC";"GM by month",#N/A,FALSE,"GM by Client";#N/A,#N/A,FALSE,"Salaries";#N/A,#N/A,FALSE,"HO Sch 1";"Growth PL sum",#N/A,FALSE,"WCI - Bud - P&amp;L with Growth";#N/A,#N/A,FALSE,"3 CCs"}</definedName>
    <definedName name="_______RO2" hidden="1">{#N/A,#N/A,FALSE,"WCI - Bud - Fin. Sum. ";"Summary",#N/A,FALSE,"Summary (g)";"GM with comments",#N/A,FALSE,"GM by Client";"Program Notes",#N/A,FALSE,"Summary (g)";"Risk",#N/A,FALSE,"Summary (g)";#N/A,#N/A,FALSE,"COS by Client by CC";"GM by month",#N/A,FALSE,"GM by Client";#N/A,#N/A,FALSE,"Salaries";#N/A,#N/A,FALSE,"HO Sch 1";"Growth PL sum",#N/A,FALSE,"WCI - Bud - P&amp;L with Growth";#N/A,#N/A,FALSE,"3 CCs"}</definedName>
    <definedName name="_______TD2" hidden="1">{#N/A,#N/A,FALSE,"WCI - Bud - Fin. Sum. ";"Summary",#N/A,FALSE,"Summary (g)";"GM with comments",#N/A,FALSE,"GM by Client";"Program Notes",#N/A,FALSE,"Summary (g)";"Risk",#N/A,FALSE,"Summary (g)";#N/A,#N/A,FALSE,"COS by Client by CC";"GM by month",#N/A,FALSE,"GM by Client";#N/A,#N/A,FALSE,"Salaries";#N/A,#N/A,FALSE,"HO Sch 1";"Growth PL sum",#N/A,FALSE,"WCI - Bud - P&amp;L with Growth";#N/A,#N/A,FALSE,"3 CCs"}</definedName>
    <definedName name="_____FP2" hidden="1">{#N/A,#N/A,FALSE,"WCI - Bud - Fin. Sum. ";"Summary",#N/A,FALSE,"Summary (g)";"GM with comments",#N/A,FALSE,"GM by Client";"Program Notes",#N/A,FALSE,"Summary (g)";"Risk",#N/A,FALSE,"Summary (g)";#N/A,#N/A,FALSE,"COS by Client by CC";"GM by month",#N/A,FALSE,"GM by Client";#N/A,#N/A,FALSE,"Salaries";#N/A,#N/A,FALSE,"HO Sch 1";"Growth PL sum",#N/A,FALSE,"WCI - Bud - P&amp;L with Growth";#N/A,#N/A,FALSE,"3 CCs"}</definedName>
    <definedName name="_____RO2" hidden="1">{#N/A,#N/A,FALSE,"WCI - Bud - Fin. Sum. ";"Summary",#N/A,FALSE,"Summary (g)";"GM with comments",#N/A,FALSE,"GM by Client";"Program Notes",#N/A,FALSE,"Summary (g)";"Risk",#N/A,FALSE,"Summary (g)";#N/A,#N/A,FALSE,"COS by Client by CC";"GM by month",#N/A,FALSE,"GM by Client";#N/A,#N/A,FALSE,"Salaries";#N/A,#N/A,FALSE,"HO Sch 1";"Growth PL sum",#N/A,FALSE,"WCI - Bud - P&amp;L with Growth";#N/A,#N/A,FALSE,"3 CCs"}</definedName>
    <definedName name="_____TD2" hidden="1">{#N/A,#N/A,FALSE,"WCI - Bud - Fin. Sum. ";"Summary",#N/A,FALSE,"Summary (g)";"GM with comments",#N/A,FALSE,"GM by Client";"Program Notes",#N/A,FALSE,"Summary (g)";"Risk",#N/A,FALSE,"Summary (g)";#N/A,#N/A,FALSE,"COS by Client by CC";"GM by month",#N/A,FALSE,"GM by Client";#N/A,#N/A,FALSE,"Salaries";#N/A,#N/A,FALSE,"HO Sch 1";"Growth PL sum",#N/A,FALSE,"WCI - Bud - P&amp;L with Growth";#N/A,#N/A,FALSE,"3 CCs"}</definedName>
    <definedName name="____AOL2" hidden="1">{#N/A,#N/A,FALSE,"WCI - Bud - Fin. Sum. ";"Summary",#N/A,FALSE,"Summary (g)";"GM with comments",#N/A,FALSE,"GM by Client";"Program Notes",#N/A,FALSE,"Summary (g)";"Risk",#N/A,FALSE,"Summary (g)";#N/A,#N/A,FALSE,"COS by Client by CC";"GM by month",#N/A,FALSE,"GM by Client";#N/A,#N/A,FALSE,"Salaries";#N/A,#N/A,FALSE,"HO Sch 1";"Growth PL sum",#N/A,FALSE,"WCI - Bud - P&amp;L with Growth";#N/A,#N/A,FALSE,"3 CCs"}</definedName>
    <definedName name="____FP2" hidden="1">{#N/A,#N/A,FALSE,"WCI - Bud - Fin. Sum. ";"Summary",#N/A,FALSE,"Summary (g)";"GM with comments",#N/A,FALSE,"GM by Client";"Program Notes",#N/A,FALSE,"Summary (g)";"Risk",#N/A,FALSE,"Summary (g)";#N/A,#N/A,FALSE,"COS by Client by CC";"GM by month",#N/A,FALSE,"GM by Client";#N/A,#N/A,FALSE,"Salaries";#N/A,#N/A,FALSE,"HO Sch 1";"Growth PL sum",#N/A,FALSE,"WCI - Bud - P&amp;L with Growth";#N/A,#N/A,FALSE,"3 CCs"}</definedName>
    <definedName name="____RO2" hidden="1">{#N/A,#N/A,FALSE,"WCI - Bud - Fin. Sum. ";"Summary",#N/A,FALSE,"Summary (g)";"GM with comments",#N/A,FALSE,"GM by Client";"Program Notes",#N/A,FALSE,"Summary (g)";"Risk",#N/A,FALSE,"Summary (g)";#N/A,#N/A,FALSE,"COS by Client by CC";"GM by month",#N/A,FALSE,"GM by Client";#N/A,#N/A,FALSE,"Salaries";#N/A,#N/A,FALSE,"HO Sch 1";"Growth PL sum",#N/A,FALSE,"WCI - Bud - P&amp;L with Growth";#N/A,#N/A,FALSE,"3 CCs"}</definedName>
    <definedName name="____TD2" hidden="1">{#N/A,#N/A,FALSE,"WCI - Bud - Fin. Sum. ";"Summary",#N/A,FALSE,"Summary (g)";"GM with comments",#N/A,FALSE,"GM by Client";"Program Notes",#N/A,FALSE,"Summary (g)";"Risk",#N/A,FALSE,"Summary (g)";#N/A,#N/A,FALSE,"COS by Client by CC";"GM by month",#N/A,FALSE,"GM by Client";#N/A,#N/A,FALSE,"Salaries";#N/A,#N/A,FALSE,"HO Sch 1";"Growth PL sum",#N/A,FALSE,"WCI - Bud - P&amp;L with Growth";#N/A,#N/A,FALSE,"3 CCs"}</definedName>
    <definedName name="___AOL2" hidden="1">{#N/A,#N/A,FALSE,"WCI - Bud - Fin. Sum. ";"Summary",#N/A,FALSE,"Summary (g)";"GM with comments",#N/A,FALSE,"GM by Client";"Program Notes",#N/A,FALSE,"Summary (g)";"Risk",#N/A,FALSE,"Summary (g)";#N/A,#N/A,FALSE,"COS by Client by CC";"GM by month",#N/A,FALSE,"GM by Client";#N/A,#N/A,FALSE,"Salaries";#N/A,#N/A,FALSE,"HO Sch 1";"Growth PL sum",#N/A,FALSE,"WCI - Bud - P&amp;L with Growth";#N/A,#N/A,FALSE,"3 CCs"}</definedName>
    <definedName name="___FP2" hidden="1">{#N/A,#N/A,FALSE,"WCI - Bud - Fin. Sum. ";"Summary",#N/A,FALSE,"Summary (g)";"GM with comments",#N/A,FALSE,"GM by Client";"Program Notes",#N/A,FALSE,"Summary (g)";"Risk",#N/A,FALSE,"Summary (g)";#N/A,#N/A,FALSE,"COS by Client by CC";"GM by month",#N/A,FALSE,"GM by Client";#N/A,#N/A,FALSE,"Salaries";#N/A,#N/A,FALSE,"HO Sch 1";"Growth PL sum",#N/A,FALSE,"WCI - Bud - P&amp;L with Growth";#N/A,#N/A,FALSE,"3 CCs"}</definedName>
    <definedName name="___RO2" hidden="1">{#N/A,#N/A,FALSE,"WCI - Bud - Fin. Sum. ";"Summary",#N/A,FALSE,"Summary (g)";"GM with comments",#N/A,FALSE,"GM by Client";"Program Notes",#N/A,FALSE,"Summary (g)";"Risk",#N/A,FALSE,"Summary (g)";#N/A,#N/A,FALSE,"COS by Client by CC";"GM by month",#N/A,FALSE,"GM by Client";#N/A,#N/A,FALSE,"Salaries";#N/A,#N/A,FALSE,"HO Sch 1";"Growth PL sum",#N/A,FALSE,"WCI - Bud - P&amp;L with Growth";#N/A,#N/A,FALSE,"3 CCs"}</definedName>
    <definedName name="___TD2" hidden="1">{#N/A,#N/A,FALSE,"WCI - Bud - Fin. Sum. ";"Summary",#N/A,FALSE,"Summary (g)";"GM with comments",#N/A,FALSE,"GM by Client";"Program Notes",#N/A,FALSE,"Summary (g)";"Risk",#N/A,FALSE,"Summary (g)";#N/A,#N/A,FALSE,"COS by Client by CC";"GM by month",#N/A,FALSE,"GM by Client";#N/A,#N/A,FALSE,"Salaries";#N/A,#N/A,FALSE,"HO Sch 1";"Growth PL sum",#N/A,FALSE,"WCI - Bud - P&amp;L with Growth";#N/A,#N/A,FALSE,"3 CCs"}</definedName>
    <definedName name="__123Graph_A" hidden="1">#REF!</definedName>
    <definedName name="__123Graph_B" hidden="1">#REF!</definedName>
    <definedName name="__123Graph_C" hidden="1">#REF!</definedName>
    <definedName name="__123Graph_D" hidden="1">#REF!</definedName>
    <definedName name="__123Graph_E" hidden="1">#REF!</definedName>
    <definedName name="__123Graph_F" hidden="1">#REF!</definedName>
    <definedName name="__123Graph_X" hidden="1">#REF!</definedName>
    <definedName name="__AOL2" hidden="1">{#N/A,#N/A,FALSE,"WCI - Bud - Fin. Sum. ";"Summary",#N/A,FALSE,"Summary (g)";"GM with comments",#N/A,FALSE,"GM by Client";"Program Notes",#N/A,FALSE,"Summary (g)";"Risk",#N/A,FALSE,"Summary (g)";#N/A,#N/A,FALSE,"COS by Client by CC";"GM by month",#N/A,FALSE,"GM by Client";#N/A,#N/A,FALSE,"Salaries";#N/A,#N/A,FALSE,"HO Sch 1";"Growth PL sum",#N/A,FALSE,"WCI - Bud - P&amp;L with Growth";#N/A,#N/A,FALSE,"3 CCs"}</definedName>
    <definedName name="__FDS_HYPERLINK_TOGGLE_STATE__" hidden="1">"ON"</definedName>
    <definedName name="__FP2" hidden="1">{#N/A,#N/A,FALSE,"WCI - Bud - Fin. Sum. ";"Summary",#N/A,FALSE,"Summary (g)";"GM with comments",#N/A,FALSE,"GM by Client";"Program Notes",#N/A,FALSE,"Summary (g)";"Risk",#N/A,FALSE,"Summary (g)";#N/A,#N/A,FALSE,"COS by Client by CC";"GM by month",#N/A,FALSE,"GM by Client";#N/A,#N/A,FALSE,"Salaries";#N/A,#N/A,FALSE,"HO Sch 1";"Growth PL sum",#N/A,FALSE,"WCI - Bud - P&amp;L with Growth";#N/A,#N/A,FALSE,"3 CCs"}</definedName>
    <definedName name="__IntlFixup" hidden="1">TRUE</definedName>
    <definedName name="__RO2" hidden="1">{#N/A,#N/A,FALSE,"WCI - Bud - Fin. Sum. ";"Summary",#N/A,FALSE,"Summary (g)";"GM with comments",#N/A,FALSE,"GM by Client";"Program Notes",#N/A,FALSE,"Summary (g)";"Risk",#N/A,FALSE,"Summary (g)";#N/A,#N/A,FALSE,"COS by Client by CC";"GM by month",#N/A,FALSE,"GM by Client";#N/A,#N/A,FALSE,"Salaries";#N/A,#N/A,FALSE,"HO Sch 1";"Growth PL sum",#N/A,FALSE,"WCI - Bud - P&amp;L with Growth";#N/A,#N/A,FALSE,"3 CCs"}</definedName>
    <definedName name="__TD2" hidden="1">{#N/A,#N/A,FALSE,"WCI - Bud - Fin. Sum. ";"Summary",#N/A,FALSE,"Summary (g)";"GM with comments",#N/A,FALSE,"GM by Client";"Program Notes",#N/A,FALSE,"Summary (g)";"Risk",#N/A,FALSE,"Summary (g)";#N/A,#N/A,FALSE,"COS by Client by CC";"GM by month",#N/A,FALSE,"GM by Client";#N/A,#N/A,FALSE,"Salaries";#N/A,#N/A,FALSE,"HO Sch 1";"Growth PL sum",#N/A,FALSE,"WCI - Bud - P&amp;L with Growth";#N/A,#N/A,FALSE,"3 CCs"}</definedName>
    <definedName name="_1__123Graph_ACHART_1" hidden="1">#REF!</definedName>
    <definedName name="_10__123Graph_BCHART_17" hidden="1">#REF!</definedName>
    <definedName name="_11__123Graph_BCHART_19" hidden="1">#REF!</definedName>
    <definedName name="_23__123Graph_XCHART_2" hidden="1">#REF!</definedName>
    <definedName name="_24__123Graph_XCHART_4" hidden="1">#REF!</definedName>
    <definedName name="_25__123Graph_XCHART_5" hidden="1">#REF!</definedName>
    <definedName name="_3__123Graph_ACHART_2" hidden="1">#REF!</definedName>
    <definedName name="_4__123Graph_ACHART_4" hidden="1">#REF!</definedName>
    <definedName name="_AOL2" hidden="1">{#N/A,#N/A,FALSE,"WCI - Bud - Fin. Sum. ";"Summary",#N/A,FALSE,"Summary (g)";"GM with comments",#N/A,FALSE,"GM by Client";"Program Notes",#N/A,FALSE,"Summary (g)";"Risk",#N/A,FALSE,"Summary (g)";#N/A,#N/A,FALSE,"COS by Client by CC";"GM by month",#N/A,FALSE,"GM by Client";#N/A,#N/A,FALSE,"Salaries";#N/A,#N/A,FALSE,"HO Sch 1";"Growth PL sum",#N/A,FALSE,"WCI - Bud - P&amp;L with Growth";#N/A,#N/A,FALSE,"3 CCs"}</definedName>
    <definedName name="_bdm.0390D31B9DDC430895DA51396740E650.edm" hidden="1">#REF!</definedName>
    <definedName name="_bdm.21896BA706F04B61A4706E387595E573.edm" hidden="1">#REF!</definedName>
    <definedName name="_bdm.5E0146E00CD1449A9DB679403071135B.edm" hidden="1">#REF!</definedName>
    <definedName name="_bdm.67065F9898AC44E9A916867D78CAD177.edm" hidden="1">#REF!</definedName>
    <definedName name="_bdm.7DD6A96793594A048DC1EA9DC909B0AC.edm" hidden="1">#REF!</definedName>
    <definedName name="_bdm.860EDC4EC26644C782AFF2C476A79C8C.edm" hidden="1">#REF!</definedName>
    <definedName name="_bdm.8A1B83C9FE0F48BABF1BCDE8A6EFDD1E.edm" hidden="1">#REF!</definedName>
    <definedName name="_bdm.9741F78FEC3D4DF09984B3D3F14F4912.edm" hidden="1">#REF!</definedName>
    <definedName name="_bdm.A3265732C03A4151AFE1652990F45E0B.edm" hidden="1">#REF!</definedName>
    <definedName name="_bdm.B506EE73E3E646EABF5412DA88E0369D.edm" hidden="1">#REF!</definedName>
    <definedName name="_bdm.C0E5EBB5E9E9412BBA810D9013837C4E.edm" hidden="1">#REF!</definedName>
    <definedName name="_bdm.CC2C753C68C44C6EBA5ABFFB9C5FD405.edm" hidden="1">#REF!</definedName>
    <definedName name="_bdm.D6765C2A491342A89E641E0324AD9446.edm" hidden="1">#REF!</definedName>
    <definedName name="_bdm.D6807F17A49D42E0A711CBF1C88703B3.edm" hidden="1">#REF!</definedName>
    <definedName name="_bdm.E27030F4A2814D64A4A88CCCFD091157.edm" hidden="1">#REF!</definedName>
    <definedName name="_bdm.E8B571B580C54C2F97581663ED5DDA19.edm" hidden="1">#REF!</definedName>
    <definedName name="_bdm.F9123455C72F46B9BC508B850D9F51A1.edm" hidden="1">#REF!</definedName>
    <definedName name="_bdm.FastTrackBookmark.2_18_2007_3_14_23_PM.edm" hidden="1">#REF!</definedName>
    <definedName name="_bdm.FastTrackBookmark.2_18_2007_3_14_30_PM.edm" hidden="1">#REF!</definedName>
    <definedName name="_BQ4.2" hidden="1">#REF!</definedName>
    <definedName name="_BQ4.3" hidden="1">#REF!</definedName>
    <definedName name="_CCC1" hidden="1">{"Total Central",#N/A,FALSE,"Central";"Cincinnati",#N/A,FALSE,"Central";"Cleveland",#N/A,FALSE,"Central";"Columbus",#N/A,FALSE,"Central";"Denver",#N/A,FALSE,"Central";"Indianapolis",#N/A,FALSE,"Central";"Lombard Admin",#N/A,FALSE,"Central";"Lombard Sales",#N/A,FALSE,"Central";"Louisville",#N/A,FALSE,"Central";"Nashville",#N/A,FALSE,"Central";"Novi",#N/A,FALSE,"Central";"Oklahoma City",#N/A,FALSE,"Central";"St Louis",#N/A,FALSE,"Central"}</definedName>
    <definedName name="_Fill" hidden="1">#REF!</definedName>
    <definedName name="_FP2" hidden="1">{#N/A,#N/A,FALSE,"WCI - Bud - Fin. Sum. ";"Summary",#N/A,FALSE,"Summary (g)";"GM with comments",#N/A,FALSE,"GM by Client";"Program Notes",#N/A,FALSE,"Summary (g)";"Risk",#N/A,FALSE,"Summary (g)";#N/A,#N/A,FALSE,"COS by Client by CC";"GM by month",#N/A,FALSE,"GM by Client";#N/A,#N/A,FALSE,"Salaries";#N/A,#N/A,FALSE,"HO Sch 1";"Growth PL sum",#N/A,FALSE,"WCI - Bud - P&amp;L with Growth";#N/A,#N/A,FALSE,"3 CCs"}</definedName>
    <definedName name="_Key1" hidden="1">#REF!</definedName>
    <definedName name="_Key2" hidden="1">#REF!</definedName>
    <definedName name="_Order1" hidden="1">255</definedName>
    <definedName name="_Order2" hidden="1">255</definedName>
    <definedName name="_RO2" hidden="1">{#N/A,#N/A,FALSE,"WCI - Bud - Fin. Sum. ";"Summary",#N/A,FALSE,"Summary (g)";"GM with comments",#N/A,FALSE,"GM by Client";"Program Notes",#N/A,FALSE,"Summary (g)";"Risk",#N/A,FALSE,"Summary (g)";#N/A,#N/A,FALSE,"COS by Client by CC";"GM by month",#N/A,FALSE,"GM by Client";#N/A,#N/A,FALSE,"Salaries";#N/A,#N/A,FALSE,"HO Sch 1";"Growth PL sum",#N/A,FALSE,"WCI - Bud - P&amp;L with Growth";#N/A,#N/A,FALSE,"3 CCs"}</definedName>
    <definedName name="_Sort" hidden="1">#REF!</definedName>
    <definedName name="_TD2" hidden="1">{#N/A,#N/A,FALSE,"WCI - Bud - Fin. Sum. ";"Summary",#N/A,FALSE,"Summary (g)";"GM with comments",#N/A,FALSE,"GM by Client";"Program Notes",#N/A,FALSE,"Summary (g)";"Risk",#N/A,FALSE,"Summary (g)";#N/A,#N/A,FALSE,"COS by Client by CC";"GM by month",#N/A,FALSE,"GM by Client";#N/A,#N/A,FALSE,"Salaries";#N/A,#N/A,FALSE,"HO Sch 1";"Growth PL sum",#N/A,FALSE,"WCI - Bud - P&amp;L with Growth";#N/A,#N/A,FALSE,"3 CCs"}</definedName>
    <definedName name="a" hidden="1">{#N/A,#N/A,FALSE,"CANADA - P&amp;L QTR";#N/A,#N/A,FALSE,"DFSCAN - P&amp;L QTR";#N/A,#N/A,FALSE,"OPC - P&amp;L QTR";#N/A,#N/A,FALSE,"CANOTH - P&amp;L QTR";#N/A,#N/A,FALSE,"TECHCAN - P&amp;L QTR";#N/A,#N/A,FALSE,"FINLINX - P&amp;L QTR";#N/A,#N/A,FALSE,"IFWORKOUT - P&amp;L QTR";#N/A,#N/A,FALSE,"AGILENTCA - P&amp;L QTR";#N/A,#N/A,FALSE,"RFG0011000 - P&amp;L QTR"}</definedName>
    <definedName name="a_new" hidden="1">{#N/A,#N/A,TRUE,"T1 PassR by product";#N/A,#N/A,TRUE,"T2 PassR By Channel";#N/A,#N/A,TRUE,"T3A Decision &amp; T3B Funded";#N/A,#N/A,TRUE,"PRECREEN CHANNEL 1998 ONLY";#N/A,#N/A,TRUE,"Approval Exception Distribution";#N/A,#N/A,TRUE,"Approval Exception Rates";#N/A,#N/A,TRUE,"T7Funded Exception Distribution";#N/A,#N/A,TRUE,"T8 Funded Exception Rates";#N/A,#N/A,TRUE,"Exception vs nonexception";#N/A,#N/A,TRUE,"Prelim Decline Adverse Actions";#N/A,#N/A,TRUE,"Final Decline Adverse Actions";#N/A,#N/A,TRUE,"DECLINE REASONS Prelim";#N/A,#N/A,TRUE,"DECLINE REASONS";#N/A,#N/A,TRUE,"Port. and Orig. By State";#N/A,#N/A,TRUE,"Port. and Orig. By Product";#N/A,#N/A,TRUE,"Paidoff by pool";#N/A,#N/A,TRUE,"paidoff by vintage";#N/A,#N/A,TRUE,"Score Migration";#N/A,#N/A,TRUE,"T15_2";#N/A,#N/A,TRUE,"Median Debt Reload";#N/A,#N/A,TRUE,"Accounts Tracked";#N/A,#N/A,TRUE,"Reload by Vintage"}</definedName>
    <definedName name="AAA" hidden="1">{"Total Admin",#N/A,FALSE,"Admin";"Executive",#N/A,FALSE,"Admin";"Finance",#N/A,FALSE,"Admin";"Marketing",#N/A,FALSE,"Admin";"NonDepartmental",#N/A,FALSE,"Admin"}</definedName>
    <definedName name="AAA_DOCTOPS" hidden="1">"AAA_SET"</definedName>
    <definedName name="AAA_duser" hidden="1">"OFF"</definedName>
    <definedName name="AAB_Addin5" hidden="1">"AAB_Description for addin 5,Description for addin 5,Description for addin 5,Description for addin 5,Description for addin 5,Description for addin 5"</definedName>
    <definedName name="abco" hidden="1">#REF!</definedName>
    <definedName name="AccessDatabase" hidden="1">"G:\GC\INV\554\07_01\554_0701.mdb"</definedName>
    <definedName name="Amort" hidden="1">{#N/A,#N/A,FALSE,"WCI - Bud - Fin. Sum. ";"Summary",#N/A,FALSE,"Summary (g)";"GM with comments",#N/A,FALSE,"GM by Client";"Program Notes",#N/A,FALSE,"Summary (g)";"Risk",#N/A,FALSE,"Summary (g)";#N/A,#N/A,FALSE,"COS by Client by CC";"GM by month",#N/A,FALSE,"GM by Client";#N/A,#N/A,FALSE,"Salaries";#N/A,#N/A,FALSE,"HO Sch 1";"Growth PL sum",#N/A,FALSE,"WCI - Bud - P&amp;L with Growth";#N/A,#N/A,FALSE,"3 CCs"}</definedName>
    <definedName name="anscount" hidden="1">1</definedName>
    <definedName name="b" hidden="1">{#N/A,#N/A,TRUE,"T1 PassR by product";#N/A,#N/A,TRUE,"T2 PassR By Channel";#N/A,#N/A,TRUE,"T3A Decision &amp; T3B Funded";#N/A,#N/A,TRUE,"PRECREEN CHANNEL 1998 ONLY";#N/A,#N/A,TRUE,"Approval Exception Distribution";#N/A,#N/A,TRUE,"Approval Exception Rates";#N/A,#N/A,TRUE,"T7Funded Exception Distribution";#N/A,#N/A,TRUE,"T8 Funded Exception Rates";#N/A,#N/A,TRUE,"Exception vs nonexception";#N/A,#N/A,TRUE,"Prelim Decline Adverse Actions";#N/A,#N/A,TRUE,"Final Decline Adverse Actions";#N/A,#N/A,TRUE,"DECLINE REASONS Prelim";#N/A,#N/A,TRUE,"DECLINE REASONS";#N/A,#N/A,TRUE,"Port. and Orig. By State";#N/A,#N/A,TRUE,"Port. and Orig. By Product";#N/A,#N/A,TRUE,"Paidoff by pool";#N/A,#N/A,TRUE,"paidoff by vintage";#N/A,#N/A,TRUE,"Score Migration";#N/A,#N/A,TRUE,"T15_2";#N/A,#N/A,TRUE,"Median Debt Reload";#N/A,#N/A,TRUE,"Accounts Tracked";#N/A,#N/A,TRUE,"Reload by Vintage"}</definedName>
    <definedName name="b_new" hidden="1">{#N/A,#N/A,TRUE,"T1 PassR by product";#N/A,#N/A,TRUE,"T2 PassR By Channel";#N/A,#N/A,TRUE,"T3A Decision &amp; T3B Funded";#N/A,#N/A,TRUE,"PRECREEN CHANNEL 1998 ONLY";#N/A,#N/A,TRUE,"Approval Exception Distribution";#N/A,#N/A,TRUE,"Approval Exception Rates";#N/A,#N/A,TRUE,"T7Funded Exception Distribution";#N/A,#N/A,TRUE,"T8 Funded Exception Rates";#N/A,#N/A,TRUE,"Exception vs nonexception";#N/A,#N/A,TRUE,"Prelim Decline Adverse Actions";#N/A,#N/A,TRUE,"Final Decline Adverse Actions";#N/A,#N/A,TRUE,"DECLINE REASONS Prelim";#N/A,#N/A,TRUE,"DECLINE REASONS";#N/A,#N/A,TRUE,"Port. and Orig. By State";#N/A,#N/A,TRUE,"Port. and Orig. By Product";#N/A,#N/A,TRUE,"Paidoff by pool";#N/A,#N/A,TRUE,"paidoff by vintage";#N/A,#N/A,TRUE,"Score Migration";#N/A,#N/A,TRUE,"T15_2";#N/A,#N/A,TRUE,"Median Debt Reload";#N/A,#N/A,TRUE,"Accounts Tracked";#N/A,#N/A,TRUE,"Reload by Vintage"}</definedName>
    <definedName name="BBB" hidden="1">{"TOTAL",#N/A,FALSE,"Total";"Total East",#N/A,FALSE,"East";"Atlanta",#N/A,FALSE,"East";"Baltimore",#N/A,FALSE,"East";"Charlotte",#N/A,FALSE,"East";"Maitland",#N/A,FALSE,"East";"Marlton Admin",#N/A,FALSE,"East";"Marlton Sales",#N/A,FALSE,"East";"Pittsburgh",#N/A,FALSE,"East";"Plymouth Meeting",#N/A,FALSE,"East";"Raleigh",#N/A,FALSE,"East";"Richmond",#N/A,FALSE,"East";"Tampa",#N/A,FALSE,"East";"White Plains",#N/A,FALSE,"East";"Total Central",#N/A,FALSE,"Central";"Cincinnati",#N/A,FALSE,"Central";"Cleveland",#N/A,FALSE,"Central";"Columbus",#N/A,FALSE,"Central";"Denver",#N/A,FALSE,"Central";"Indianapolis",#N/A,FALSE,"Central";"Lombard Admin",#N/A,FALSE,"Central";"Lombard Sales",#N/A,FALSE,"Central";"Louisville",#N/A,FALSE,"Central";"Nashville",#N/A,FALSE,"Central";"Novi",#N/A,FALSE,"Central";"Oklahoma City",#N/A,FALSE,"Central";"St Louis",#N/A,FALSE,"Central";"Total West",#N/A,FALSE,"West";"Austin",#N/A,FALSE,"West";"Dallas",#N/A,FALSE,"West";"Houston",#N/A,FALSE,"West";"Las Vegas",#N/A,FALSE,"West";"Pasadena",#N/A,FALSE,"West";"Phoenix",#N/A,FALSE,"West";"Pleasanton Admin",#N/A,FALSE,"West";"Pleasanton Sales",#N/A,FALSE,"West";"Portland",#N/A,FALSE,"West";"Salt Lake City",#N/A,FALSE,"West";"San Diego",#N/A,FALSE,"West";"Seattle",#N/A,FALSE,"West";"NHEC",#N/A,FALSE,"NHEC";"Total Wholesale",#N/A,FALSE,"Wholesale";"Whsle_Admin",#N/A,FALSE,"Wholesale";"Whsle_Lombard",#N/A,FALSE,"Wholesale";"Whsle_Marlton",#N/A,FALSE,"Wholesale";"Whsle_Pleasanton",#N/A,FALSE,"Wholesale";"Total Admin",#N/A,FALSE,"Admin";"Executive",#N/A,FALSE,"Admin";"Finance",#N/A,FALSE,"Admin";"Marketing",#N/A,FALSE,"Admin";"NonDepartmental",#N/A,FALSE,"Admin";"Total Credit",#N/A,FALSE,"Credit";"Appraisal",#N/A,FALSE,"Credit";"Customer Service",#N/A,FALSE,"Credit";"Home Office",#N/A,FALSE,"Credit";"Quality Control",#N/A,FALSE,"Credit";"Risk Mgmt",#N/A,FALSE,"Credit"}</definedName>
    <definedName name="bv" hidden="1">"c2205"</definedName>
    <definedName name="cc" hidden="1">{#N/A,#N/A,TRUE,"T1 PassR by product";#N/A,#N/A,TRUE,"T2 PassR By Channel";#N/A,#N/A,TRUE,"T3A Decision &amp; T3B Funded";#N/A,#N/A,TRUE,"PRECREEN CHANNEL 1998 ONLY";#N/A,#N/A,TRUE,"Approval Exception Distribution";#N/A,#N/A,TRUE,"Approval Exception Rates";#N/A,#N/A,TRUE,"T7Funded Exception Distribution";#N/A,#N/A,TRUE,"T8 Funded Exception Rates";#N/A,#N/A,TRUE,"Exception vs nonexception";#N/A,#N/A,TRUE,"Prelim Decline Adverse Actions";#N/A,#N/A,TRUE,"Final Decline Adverse Actions";#N/A,#N/A,TRUE,"DECLINE REASONS Prelim";#N/A,#N/A,TRUE,"DECLINE REASONS";#N/A,#N/A,TRUE,"Port. and Orig. By State";#N/A,#N/A,TRUE,"Port. and Orig. By Product";#N/A,#N/A,TRUE,"Paidoff by pool";#N/A,#N/A,TRUE,"paidoff by vintage";#N/A,#N/A,TRUE,"Score Migration";#N/A,#N/A,TRUE,"T15_2";#N/A,#N/A,TRUE,"Median Debt Reload";#N/A,#N/A,TRUE,"Accounts Tracked";#N/A,#N/A,TRUE,"Reload by Vintage"}</definedName>
    <definedName name="cc_new" hidden="1">{#N/A,#N/A,TRUE,"T1 PassR by product";#N/A,#N/A,TRUE,"T2 PassR By Channel";#N/A,#N/A,TRUE,"T3A Decision &amp; T3B Funded";#N/A,#N/A,TRUE,"PRECREEN CHANNEL 1998 ONLY";#N/A,#N/A,TRUE,"Approval Exception Distribution";#N/A,#N/A,TRUE,"Approval Exception Rates";#N/A,#N/A,TRUE,"T7Funded Exception Distribution";#N/A,#N/A,TRUE,"T8 Funded Exception Rates";#N/A,#N/A,TRUE,"Exception vs nonexception";#N/A,#N/A,TRUE,"Prelim Decline Adverse Actions";#N/A,#N/A,TRUE,"Final Decline Adverse Actions";#N/A,#N/A,TRUE,"DECLINE REASONS Prelim";#N/A,#N/A,TRUE,"DECLINE REASONS";#N/A,#N/A,TRUE,"Port. and Orig. By State";#N/A,#N/A,TRUE,"Port. and Orig. By Product";#N/A,#N/A,TRUE,"Paidoff by pool";#N/A,#N/A,TRUE,"paidoff by vintage";#N/A,#N/A,TRUE,"Score Migration";#N/A,#N/A,TRUE,"T15_2";#N/A,#N/A,TRUE,"Median Debt Reload";#N/A,#N/A,TRUE,"Accounts Tracked";#N/A,#N/A,TRUE,"Reload by Vintage"}</definedName>
    <definedName name="CCC" hidden="1">{"Total Central",#N/A,FALSE,"Central";"Cincinnati",#N/A,FALSE,"Central";"Cleveland",#N/A,FALSE,"Central";"Columbus",#N/A,FALSE,"Central";"Denver",#N/A,FALSE,"Central";"Indianapolis",#N/A,FALSE,"Central";"Lombard Admin",#N/A,FALSE,"Central";"Lombard Sales",#N/A,FALSE,"Central";"Louisville",#N/A,FALSE,"Central";"Nashville",#N/A,FALSE,"Central";"Novi",#N/A,FALSE,"Central";"Oklahoma City",#N/A,FALSE,"Central";"St Louis",#N/A,FALSE,"Central"}</definedName>
    <definedName name="ccccc" hidden="1">{#N/A,#N/A,TRUE,"T1 PassR by product";#N/A,#N/A,TRUE,"T2 PassR By Channel";#N/A,#N/A,TRUE,"T3A Decision &amp; T3B Funded";#N/A,#N/A,TRUE,"PRECREEN CHANNEL 1998 ONLY";#N/A,#N/A,TRUE,"Approval Exception Distribution";#N/A,#N/A,TRUE,"Approval Exception Rates";#N/A,#N/A,TRUE,"T7Funded Exception Distribution";#N/A,#N/A,TRUE,"T8 Funded Exception Rates";#N/A,#N/A,TRUE,"Exception vs nonexception";#N/A,#N/A,TRUE,"Prelim Decline Adverse Actions";#N/A,#N/A,TRUE,"Final Decline Adverse Actions";#N/A,#N/A,TRUE,"DECLINE REASONS Prelim";#N/A,#N/A,TRUE,"DECLINE REASONS";#N/A,#N/A,TRUE,"Port. and Orig. By State";#N/A,#N/A,TRUE,"Port. and Orig. By Product";#N/A,#N/A,TRUE,"Paidoff by pool";#N/A,#N/A,TRUE,"paidoff by vintage";#N/A,#N/A,TRUE,"Score Migration";#N/A,#N/A,TRUE,"T15_2";#N/A,#N/A,TRUE,"Median Debt Reload";#N/A,#N/A,TRUE,"Accounts Tracked";#N/A,#N/A,TRUE,"Reload by Vintage"}</definedName>
    <definedName name="ccccc_new" hidden="1">{#N/A,#N/A,TRUE,"T1 PassR by product";#N/A,#N/A,TRUE,"T2 PassR By Channel";#N/A,#N/A,TRUE,"T3A Decision &amp; T3B Funded";#N/A,#N/A,TRUE,"PRECREEN CHANNEL 1998 ONLY";#N/A,#N/A,TRUE,"Approval Exception Distribution";#N/A,#N/A,TRUE,"Approval Exception Rates";#N/A,#N/A,TRUE,"T7Funded Exception Distribution";#N/A,#N/A,TRUE,"T8 Funded Exception Rates";#N/A,#N/A,TRUE,"Exception vs nonexception";#N/A,#N/A,TRUE,"Prelim Decline Adverse Actions";#N/A,#N/A,TRUE,"Final Decline Adverse Actions";#N/A,#N/A,TRUE,"DECLINE REASONS Prelim";#N/A,#N/A,TRUE,"DECLINE REASONS";#N/A,#N/A,TRUE,"Port. and Orig. By State";#N/A,#N/A,TRUE,"Port. and Orig. By Product";#N/A,#N/A,TRUE,"Paidoff by pool";#N/A,#N/A,TRUE,"paidoff by vintage";#N/A,#N/A,TRUE,"Score Migration";#N/A,#N/A,TRUE,"T15_2";#N/A,#N/A,TRUE,"Median Debt Reload";#N/A,#N/A,TRUE,"Accounts Tracked";#N/A,#N/A,TRUE,"Reload by Vintage"}</definedName>
    <definedName name="CDG" hidden="1">{"Total Central",#N/A,FALSE,"Central";"Cincinnati",#N/A,FALSE,"Central";"Cleveland",#N/A,FALSE,"Central";"Columbus",#N/A,FALSE,"Central";"Denver",#N/A,FALSE,"Central";"Indianapolis",#N/A,FALSE,"Central";"Lombard Admin",#N/A,FALSE,"Central";"Lombard Sales",#N/A,FALSE,"Central";"Louisville",#N/A,FALSE,"Central";"Nashville",#N/A,FALSE,"Central";"Novi",#N/A,FALSE,"Central";"Oklahoma City",#N/A,FALSE,"Central";"St Louis",#N/A,FALSE,"Central"}</definedName>
    <definedName name="CIQWBGuid" hidden="1">"0c9e1791-fbbe-49df-8365-e459806d50bd"</definedName>
    <definedName name="CIQWBInfo" hidden="1">"{ ""CIQVersion"":""9.52.4409.4666"" }"</definedName>
    <definedName name="consumer3" hidden="1">{"Total Central",#N/A,FALSE,"Central";"Cincinnati",#N/A,FALSE,"Central";"Cleveland",#N/A,FALSE,"Central";"Columbus",#N/A,FALSE,"Central";"Denver",#N/A,FALSE,"Central";"Indianapolis",#N/A,FALSE,"Central";"Lombard Admin",#N/A,FALSE,"Central";"Lombard Sales",#N/A,FALSE,"Central";"Louisville",#N/A,FALSE,"Central";"Nashville",#N/A,FALSE,"Central";"Novi",#N/A,FALSE,"Central";"Oklahoma City",#N/A,FALSE,"Central";"St Louis",#N/A,FALSE,"Central"}</definedName>
    <definedName name="consumer3a" hidden="1">{"Total Central",#N/A,FALSE,"Central";"Cincinnati",#N/A,FALSE,"Central";"Cleveland",#N/A,FALSE,"Central";"Columbus",#N/A,FALSE,"Central";"Denver",#N/A,FALSE,"Central";"Indianapolis",#N/A,FALSE,"Central";"Lombard Admin",#N/A,FALSE,"Central";"Lombard Sales",#N/A,FALSE,"Central";"Louisville",#N/A,FALSE,"Central";"Nashville",#N/A,FALSE,"Central";"Novi",#N/A,FALSE,"Central";"Oklahoma City",#N/A,FALSE,"Central";"St Louis",#N/A,FALSE,"Central"}</definedName>
    <definedName name="Covad" hidden="1">{#N/A,#N/A,FALSE,"WCI - Bud - Fin. Sum. ";"Summary",#N/A,FALSE,"Summary (g)";"GM with comments",#N/A,FALSE,"GM by Client";"Program Notes",#N/A,FALSE,"Summary (g)";"Risk",#N/A,FALSE,"Summary (g)";#N/A,#N/A,FALSE,"COS by Client by CC";"GM by month",#N/A,FALSE,"GM by Client";#N/A,#N/A,FALSE,"Salaries";#N/A,#N/A,FALSE,"HO Sch 1";"Growth PL sum",#N/A,FALSE,"WCI - Bud - P&amp;L with Growth";#N/A,#N/A,FALSE,"3 CCs"}</definedName>
    <definedName name="Covad2" hidden="1">{#N/A,#N/A,FALSE,"WCI - Bud - Fin. Sum. ";"Summary",#N/A,FALSE,"Summary (g)";"GM with comments",#N/A,FALSE,"GM by Client";"Program Notes",#N/A,FALSE,"Summary (g)";"Risk",#N/A,FALSE,"Summary (g)";#N/A,#N/A,FALSE,"COS by Client by CC";"GM by month",#N/A,FALSE,"GM by Client";#N/A,#N/A,FALSE,"Salaries";#N/A,#N/A,FALSE,"HO Sch 1";"Growth PL sum",#N/A,FALSE,"WCI - Bud - P&amp;L with Growth";#N/A,#N/A,FALSE,"3 CCs"}</definedName>
    <definedName name="define" hidden="1">{#N/A,#N/A,FALSE,"Euromat"}</definedName>
    <definedName name="Depreciation" hidden="1">{#N/A,#N/A,FALSE,"Op Exp By Cost Ctr";#N/A,#N/A,FALSE,"ASSUMPTIONS";#N/A,#N/A,FALSE,"P&amp;L";#N/A,#N/A,FALSE,"Graph";#N/A,#N/A,FALSE,"Op Exp Chart";#N/A,#N/A,FALSE,"Op Exp By Cost Ctr";#N/A,#N/A,FALSE,"FTE Graph"}</definedName>
    <definedName name="EEE" hidden="1">{"Total East",#N/A,FALSE,"East";"Atlanta",#N/A,FALSE,"East";"Baltimore",#N/A,FALSE,"East";"Charlotte",#N/A,FALSE,"East";"Maitland",#N/A,FALSE,"East";"Marlton Admin",#N/A,FALSE,"East";"Marlton Sales",#N/A,FALSE,"East";"Pittsburgh",#N/A,FALSE,"East";"Plymouth Meeting",#N/A,FALSE,"East";"Raleigh",#N/A,FALSE,"East";"Richmond",#N/A,FALSE,"East";"Tampa",#N/A,FALSE,"East";"White Plains",#N/A,FALSE,"East"}</definedName>
    <definedName name="EV__LASTREFTIME__" hidden="1">38282.5116550926</definedName>
    <definedName name="Fees" hidden="1">{"Total Central",#N/A,FALSE,"Central";"Cincinnati",#N/A,FALSE,"Central";"Cleveland",#N/A,FALSE,"Central";"Columbus",#N/A,FALSE,"Central";"Denver",#N/A,FALSE,"Central";"Indianapolis",#N/A,FALSE,"Central";"Lombard Admin",#N/A,FALSE,"Central";"Lombard Sales",#N/A,FALSE,"Central";"Louisville",#N/A,FALSE,"Central";"Nashville",#N/A,FALSE,"Central";"Novi",#N/A,FALSE,"Central";"Oklahoma City",#N/A,FALSE,"Central";"St Louis",#N/A,FALSE,"Central"}</definedName>
    <definedName name="FeesDan" hidden="1">{"Total Credit",#N/A,FALSE,"Credit";"Appraisal",#N/A,FALSE,"Credit";"Customer Service",#N/A,FALSE,"Credit";"Home Office",#N/A,FALSE,"Credit";"Quality Control",#N/A,FALSE,"Credit";"Risk Mgmt",#N/A,FALSE,"Credit"}</definedName>
    <definedName name="FFF" hidden="1">{"NHEC",#N/A,FALSE,"NHEC"}</definedName>
    <definedName name="FP" hidden="1">{#N/A,#N/A,FALSE,"WCI - Bud - Fin. Sum. ";"Summary",#N/A,FALSE,"Summary (g)";"GM with comments",#N/A,FALSE,"GM by Client";"Program Notes",#N/A,FALSE,"Summary (g)";"Risk",#N/A,FALSE,"Summary (g)";#N/A,#N/A,FALSE,"COS by Client by CC";"GM by month",#N/A,FALSE,"GM by Client";#N/A,#N/A,FALSE,"Salaries";#N/A,#N/A,FALSE,"HO Sch 1";"Growth PL sum",#N/A,FALSE,"WCI - Bud - P&amp;L with Growth";#N/A,#N/A,FALSE,"3 CCs"}</definedName>
    <definedName name="GDC" hidden="1">{"Total Admin",#N/A,FALSE,"Admin";"Executive",#N/A,FALSE,"Admin";"Finance",#N/A,FALSE,"Admin";"Marketing",#N/A,FALSE,"Admin";"NonDepartmental",#N/A,FALSE,"Admin"}</definedName>
    <definedName name="GGG" hidden="1">{"TOTAL",#N/A,FALSE,"Total";"Total East",#N/A,FALSE,"East";"Total Central",#N/A,FALSE,"Central";"Total West",#N/A,FALSE,"West";"NHEC",#N/A,FALSE,"NHEC";"Total Wholesale",#N/A,FALSE,"Wholesale";"Total Credit",#N/A,FALSE,"Credit";"Total Admin",#N/A,FALSE,"Admin"}</definedName>
    <definedName name="HHH" hidden="1">{"Total West",#N/A,FALSE,"West";"Austin",#N/A,FALSE,"West";"Dallas",#N/A,FALSE,"West";"Houston",#N/A,FALSE,"West";"Las Vegas",#N/A,FALSE,"West";"Pasadena",#N/A,FALSE,"West";"Phoenix",#N/A,FALSE,"West";"Pleasanton Admin",#N/A,FALSE,"West";"Pleasanton Sales",#N/A,FALSE,"West";"Portland",#N/A,FALSE,"West";"Salt Lake City",#N/A,FALSE,"West";"San Diego",#N/A,FALSE,"West";"Seattle",#N/A,FALSE,"West"}</definedName>
    <definedName name="hhhhhgh" hidden="1">{"Total Admin",#N/A,FALSE,"Admin";"Executive",#N/A,FALSE,"Admin";"Finance",#N/A,FALSE,"Admin";"Marketing",#N/A,FALSE,"Admin";"NonDepartmental",#N/A,FALSE,"Admin"}</definedName>
    <definedName name="III" hidden="1">{"Total Wholesale",#N/A,FALSE,"Wholesale";"Whsle_Admin",#N/A,FALSE,"Wholesale";"Whsle_Lombard",#N/A,FALSE,"Wholesale";"Whsle_Marlton",#N/A,FALSE,"Wholesale";"Whsle_Pleasanton",#N/A,FALSE,"Wholesale"}</definedName>
    <definedName name="IQ_1_4_FAMILY_JUNIOR_LIENS_CHARGE_OFFS_FDIC" hidden="1">"c6605"</definedName>
    <definedName name="IQ_1_4_FAMILY_JUNIOR_LIENS_NET_CHARGE_OFFS_FDIC" hidden="1">"c6643"</definedName>
    <definedName name="IQ_1_4_FAMILY_JUNIOR_LIENS_RECOVERIES_FDIC" hidden="1">"c6624"</definedName>
    <definedName name="IQ_1_4_FAMILY_SENIOR_LIENS_CHARGE_OFFS_FDIC" hidden="1">"c6604"</definedName>
    <definedName name="IQ_1_4_FAMILY_SENIOR_LIENS_NET_CHARGE_OFFS_FDIC" hidden="1">"c6642"</definedName>
    <definedName name="IQ_1_4_FAMILY_SENIOR_LIENS_RECOVERIES_FDIC" hidden="1">"c6623"</definedName>
    <definedName name="IQ_1_4_HOME_EQUITY_NET_LOANS_FDIC" hidden="1">"c6441"</definedName>
    <definedName name="IQ_1_4_RESIDENTIAL_FIRST_LIENS_NET_LOANS_FDIC" hidden="1">"c6439"</definedName>
    <definedName name="IQ_1_4_RESIDENTIAL_JUNIOR_LIENS_NET_LOANS_FDIC" hidden="1">"c6440"</definedName>
    <definedName name="IQ_1_4_RESIDENTIAL_LOANS_FDIC" hidden="1">"c6310"</definedName>
    <definedName name="IQ_ACQUIRED_BY_REPORTING_BANK_FDIC" hidden="1">"c6535"</definedName>
    <definedName name="IQ_ADDIN" hidden="1">"AUTO"</definedName>
    <definedName name="IQ_ADDITIONAL_NON_INT_INC_FDIC" hidden="1">"c6574"</definedName>
    <definedName name="IQ_ADJUSTABLE_RATE_LOANS_FDIC" hidden="1">"c6375"</definedName>
    <definedName name="IQ_AE_BR" hidden="1">"c10"</definedName>
    <definedName name="IQ_AFTER_TAX_INCOME_FDIC" hidden="1">"c6583"</definedName>
    <definedName name="IQ_AGRICULTURAL_PRODUCTION_CHARGE_OFFS_FDIC" hidden="1">"c6597"</definedName>
    <definedName name="IQ_AGRICULTURAL_PRODUCTION_CHARGE_OFFS_LESS_THAN_300M_FDIC" hidden="1">"c6655"</definedName>
    <definedName name="IQ_AGRICULTURAL_PRODUCTION_NET_CHARGE_OFFS_FDIC" hidden="1">"c6635"</definedName>
    <definedName name="IQ_AGRICULTURAL_PRODUCTION_NET_CHARGE_OFFS_LESS_THAN_300M_FDIC" hidden="1">"c6657"</definedName>
    <definedName name="IQ_AGRICULTURAL_PRODUCTION_RECOVERIES_FDIC" hidden="1">"c6616"</definedName>
    <definedName name="IQ_AGRICULTURAL_PRODUCTION_RECOVERIES_LESS_THAN_300M_FDIC" hidden="1">"c6656"</definedName>
    <definedName name="IQ_AMENDED_BALANCE_PREVIOUS_YR_FDIC" hidden="1">"c6499"</definedName>
    <definedName name="IQ_AMORT_EXPENSE_FDIC" hidden="1">"c6677"</definedName>
    <definedName name="IQ_AMORTIZED_COST_FDIC" hidden="1">"c6426"</definedName>
    <definedName name="IQ_AP_BR" hidden="1">"c34"</definedName>
    <definedName name="IQ_AR_BR" hidden="1">"c41"</definedName>
    <definedName name="IQ_ASSET_BACKED_FDIC" hidden="1">"c6301"</definedName>
    <definedName name="IQ_ASSET_WRITEDOWN_BR" hidden="1">"c50"</definedName>
    <definedName name="IQ_ASSET_WRITEDOWN_CF_BR" hidden="1">"c53"</definedName>
    <definedName name="IQ_ASSETS_HELD_FDIC" hidden="1">"c6305"</definedName>
    <definedName name="IQ_ASSETS_PER_EMPLOYEE_FDIC" hidden="1">"c6737"</definedName>
    <definedName name="IQ_ASSETS_SOLD_1_4_FAMILY_LOANS_FDIC" hidden="1">"c6686"</definedName>
    <definedName name="IQ_ASSETS_SOLD_AUTO_LOANS_FDIC" hidden="1">"c6680"</definedName>
    <definedName name="IQ_ASSETS_SOLD_CL_LOANS_FDIC" hidden="1">"c6681"</definedName>
    <definedName name="IQ_ASSETS_SOLD_CREDIT_CARDS_RECEIVABLES_FDIC" hidden="1">"c6683"</definedName>
    <definedName name="IQ_ASSETS_SOLD_HOME_EQUITY_LINES_FDIC" hidden="1">"c6684"</definedName>
    <definedName name="IQ_ASSETS_SOLD_OTHER_CONSUMER_LOANS_FDIC" hidden="1">"c6682"</definedName>
    <definedName name="IQ_ASSETS_SOLD_OTHER_LOANS_FDIC" hidden="1">"c6685"</definedName>
    <definedName name="IQ_AVAILABLE_FOR_SALE_FDIC" hidden="1">"c6409"</definedName>
    <definedName name="IQ_AVERAGE_ASSETS_FDIC" hidden="1">"c6362"</definedName>
    <definedName name="IQ_AVERAGE_ASSETS_QUART_FDIC" hidden="1">"c6363"</definedName>
    <definedName name="IQ_AVERAGE_EARNING_ASSETS_FDIC" hidden="1">"c6748"</definedName>
    <definedName name="IQ_AVERAGE_EQUITY_FDIC" hidden="1">"c6749"</definedName>
    <definedName name="IQ_AVERAGE_LOANS_FDIC" hidden="1">"c6750"</definedName>
    <definedName name="IQ_AVG_BROKER_REC_NO_REUT" hidden="1">"c5315"</definedName>
    <definedName name="IQ_AVG_BROKER_REC_REUT" hidden="1">"c3630"</definedName>
    <definedName name="IQ_AVG_PRICE_TARGET" hidden="1">"c82"</definedName>
    <definedName name="IQ_BALANCE_GOODS_APR_FC_UNUSED_UNUSED_UNUSED" hidden="1">"c8353"</definedName>
    <definedName name="IQ_BALANCE_GOODS_APR_UNUSED_UNUSED_UNUSED" hidden="1">"c7473"</definedName>
    <definedName name="IQ_BALANCE_GOODS_FC_UNUSED_UNUSED_UNUSED" hidden="1">"c7693"</definedName>
    <definedName name="IQ_BALANCE_GOODS_POP_FC_UNUSED_UNUSED_UNUSED" hidden="1">"c7913"</definedName>
    <definedName name="IQ_BALANCE_GOODS_POP_UNUSED_UNUSED_UNUSED" hidden="1">"c7033"</definedName>
    <definedName name="IQ_BALANCE_GOODS_UNUSED_UNUSED_UNUSED" hidden="1">"c6813"</definedName>
    <definedName name="IQ_BALANCE_GOODS_YOY_FC_UNUSED_UNUSED_UNUSED" hidden="1">"c8133"</definedName>
    <definedName name="IQ_BALANCE_GOODS_YOY_UNUSED_UNUSED_UNUSED" hidden="1">"c7253"</definedName>
    <definedName name="IQ_BALANCE_SERV_APR_FC_UNUSED_UNUSED_UNUSED" hidden="1">"c8355"</definedName>
    <definedName name="IQ_BALANCE_SERV_APR_UNUSED_UNUSED_UNUSED" hidden="1">"c7475"</definedName>
    <definedName name="IQ_BALANCE_SERV_FC_UNUSED_UNUSED_UNUSED" hidden="1">"c7695"</definedName>
    <definedName name="IQ_BALANCE_SERV_POP_FC_UNUSED_UNUSED_UNUSED" hidden="1">"c7915"</definedName>
    <definedName name="IQ_BALANCE_SERV_POP_UNUSED_UNUSED_UNUSED" hidden="1">"c7035"</definedName>
    <definedName name="IQ_BALANCE_SERV_UNUSED_UNUSED_UNUSED" hidden="1">"c6815"</definedName>
    <definedName name="IQ_BALANCE_SERV_YOY_FC_UNUSED_UNUSED_UNUSED" hidden="1">"c8135"</definedName>
    <definedName name="IQ_BALANCE_SERV_YOY_UNUSED_UNUSED_UNUSED" hidden="1">"c7255"</definedName>
    <definedName name="IQ_BALANCE_TRADE_APR_FC_UNUSED_UNUSED_UNUSED" hidden="1">"c8357"</definedName>
    <definedName name="IQ_BALANCE_TRADE_APR_UNUSED_UNUSED_UNUSED" hidden="1">"c7477"</definedName>
    <definedName name="IQ_BALANCE_TRADE_FC_UNUSED_UNUSED_UNUSED" hidden="1">"c7697"</definedName>
    <definedName name="IQ_BALANCE_TRADE_POP_FC_UNUSED_UNUSED_UNUSED" hidden="1">"c7917"</definedName>
    <definedName name="IQ_BALANCE_TRADE_POP_UNUSED_UNUSED_UNUSED" hidden="1">"c7037"</definedName>
    <definedName name="IQ_BALANCE_TRADE_UNUSED_UNUSED_UNUSED" hidden="1">"c6817"</definedName>
    <definedName name="IQ_BALANCE_TRADE_YOY_FC_UNUSED_UNUSED_UNUSED" hidden="1">"c8137"</definedName>
    <definedName name="IQ_BALANCE_TRADE_YOY_UNUSED_UNUSED_UNUSED" hidden="1">"c7257"</definedName>
    <definedName name="IQ_BALANCES_DUE_DEPOSITORY_INSTITUTIONS_FDIC" hidden="1">"c6389"</definedName>
    <definedName name="IQ_BALANCES_DUE_FOREIGN_FDIC" hidden="1">"c6391"</definedName>
    <definedName name="IQ_BALANCES_DUE_FRB_FDIC" hidden="1">"c6393"</definedName>
    <definedName name="IQ_BANK_BENEFICIARY_FDIC" hidden="1">"c6505"</definedName>
    <definedName name="IQ_BANK_GUARANTOR_FDIC" hidden="1">"c6506"</definedName>
    <definedName name="IQ_BANK_PREMISES_FDIC" hidden="1">"c6329"</definedName>
    <definedName name="IQ_BANK_SECURITIZATION_1_4_FAMILY_LOANS_FDIC" hidden="1">"c6721"</definedName>
    <definedName name="IQ_BANK_SECURITIZATION_AUTO_LOANS_FDIC" hidden="1">"c6715"</definedName>
    <definedName name="IQ_BANK_SECURITIZATION_CL_LOANS_FDIC" hidden="1">"c6716"</definedName>
    <definedName name="IQ_BANK_SECURITIZATION_CREDIT_CARDS_RECEIVABLES_FDIC" hidden="1">"c6718"</definedName>
    <definedName name="IQ_BANK_SECURITIZATION_HOME_EQUITY_LINES_FDIC" hidden="1">"c6719"</definedName>
    <definedName name="IQ_BANK_SECURITIZATION_OTHER_CONSUMER_LOANS_FDIC" hidden="1">"c6717"</definedName>
    <definedName name="IQ_BANK_SECURITIZATION_OTHER_LOANS_FDIC" hidden="1">"c6720"</definedName>
    <definedName name="IQ_BANKS_FOREIGN_COUNTRIES_TOTAL_DEPOSITS_FDIC" hidden="1">"c6475"</definedName>
    <definedName name="IQ_BROKERED_DEPOSITS_FDIC" hidden="1">"c6486"</definedName>
    <definedName name="IQ_BUDGET_BALANCE_APR_FC_UNUSED_UNUSED_UNUSED" hidden="1">"c8359"</definedName>
    <definedName name="IQ_BUDGET_BALANCE_APR_UNUSED_UNUSED_UNUSED" hidden="1">"c7479"</definedName>
    <definedName name="IQ_BUDGET_BALANCE_FC_UNUSED_UNUSED_UNUSED" hidden="1">"c7699"</definedName>
    <definedName name="IQ_BUDGET_BALANCE_POP_FC_UNUSED_UNUSED_UNUSED" hidden="1">"c7919"</definedName>
    <definedName name="IQ_BUDGET_BALANCE_POP_UNUSED_UNUSED_UNUSED" hidden="1">"c7039"</definedName>
    <definedName name="IQ_BUDGET_BALANCE_UNUSED_UNUSED_UNUSED" hidden="1">"c6819"</definedName>
    <definedName name="IQ_BUDGET_BALANCE_YOY_FC_UNUSED_UNUSED_UNUSED" hidden="1">"c8139"</definedName>
    <definedName name="IQ_BUDGET_BALANCE_YOY_UNUSED_UNUSED_UNUSED" hidden="1">"c7259"</definedName>
    <definedName name="IQ_BUDGET_RECEIPTS_APR_FC_UNUSED_UNUSED_UNUSED" hidden="1">"c8361"</definedName>
    <definedName name="IQ_BUDGET_RECEIPTS_APR_UNUSED_UNUSED_UNUSED" hidden="1">"c7481"</definedName>
    <definedName name="IQ_BUDGET_RECEIPTS_FC_UNUSED_UNUSED_UNUSED" hidden="1">"c7701"</definedName>
    <definedName name="IQ_BUDGET_RECEIPTS_POP_FC_UNUSED_UNUSED_UNUSED" hidden="1">"c7921"</definedName>
    <definedName name="IQ_BUDGET_RECEIPTS_POP_UNUSED_UNUSED_UNUSED" hidden="1">"c7041"</definedName>
    <definedName name="IQ_BUDGET_RECEIPTS_UNUSED_UNUSED_UNUSED" hidden="1">"c6821"</definedName>
    <definedName name="IQ_BUDGET_RECEIPTS_YOY_FC_UNUSED_UNUSED_UNUSED" hidden="1">"c8141"</definedName>
    <definedName name="IQ_BUDGET_RECEIPTS_YOY_UNUSED_UNUSED_UNUSED" hidden="1">"c7261"</definedName>
    <definedName name="IQ_CAL_Q_EST_REUT" hidden="1">"c6800"</definedName>
    <definedName name="IQ_CAL_Y_EST_REUT" hidden="1">"c6801"</definedName>
    <definedName name="IQ_CAPEX_BR" hidden="1">"c111"</definedName>
    <definedName name="IQ_CASH_DIVIDENDS_NET_INCOME_FDIC" hidden="1">"c6738"</definedName>
    <definedName name="IQ_CASH_IN_PROCESS_FDIC" hidden="1">"c6386"</definedName>
    <definedName name="IQ_CCE_FDIC" hidden="1">"c6296"</definedName>
    <definedName name="IQ_CH">110000</definedName>
    <definedName name="IQ_CHANGE_AP_BR" hidden="1">"c135"</definedName>
    <definedName name="IQ_CHANGE_AR_BR" hidden="1">"c142"</definedName>
    <definedName name="IQ_CHANGE_INVENT_REAL_APR_FC_UNUSED_UNUSED_UNUSED" hidden="1">"c8500"</definedName>
    <definedName name="IQ_CHANGE_INVENT_REAL_APR_UNUSED_UNUSED_UNUSED" hidden="1">"c7620"</definedName>
    <definedName name="IQ_CHANGE_INVENT_REAL_FC_UNUSED_UNUSED_UNUSED" hidden="1">"c7840"</definedName>
    <definedName name="IQ_CHANGE_INVENT_REAL_POP_FC_UNUSED_UNUSED_UNUSED" hidden="1">"c8060"</definedName>
    <definedName name="IQ_CHANGE_INVENT_REAL_POP_UNUSED_UNUSED_UNUSED" hidden="1">"c7180"</definedName>
    <definedName name="IQ_CHANGE_INVENT_REAL_UNUSED_UNUSED_UNUSED" hidden="1">"c6960"</definedName>
    <definedName name="IQ_CHANGE_INVENT_REAL_YOY_FC_UNUSED_UNUSED_UNUSED" hidden="1">"c8280"</definedName>
    <definedName name="IQ_CHANGE_INVENT_REAL_YOY_UNUSED_UNUSED_UNUSED" hidden="1">"c7400"</definedName>
    <definedName name="IQ_CHANGE_OTHER_NET_OPER_ASSETS_BR" hidden="1">"c3595"</definedName>
    <definedName name="IQ_CHANGE_OTHER_WORK_CAP_BR" hidden="1">"c154"</definedName>
    <definedName name="IQ_CHARGE_OFFS_1_4_FAMILY_FDIC" hidden="1">"c6756"</definedName>
    <definedName name="IQ_CHARGE_OFFS_1_4_FAMILY_LOANS_FDIC" hidden="1">"c6714"</definedName>
    <definedName name="IQ_CHARGE_OFFS_AUTO_LOANS_FDIC" hidden="1">"c6708"</definedName>
    <definedName name="IQ_CHARGE_OFFS_CL_LOANS_FDIC" hidden="1">"c6709"</definedName>
    <definedName name="IQ_CHARGE_OFFS_COMMERCIAL_INDUSTRIAL_FDIC" hidden="1">"c6759"</definedName>
    <definedName name="IQ_CHARGE_OFFS_COMMERCIAL_RE_FDIC" hidden="1">"c6754"</definedName>
    <definedName name="IQ_CHARGE_OFFS_COMMERCIAL_RE_NOT_SECURED_FDIC" hidden="1">"c6764"</definedName>
    <definedName name="IQ_CHARGE_OFFS_CONSTRUCTION_DEVELOPMENT_FDIC" hidden="1">"c6753"</definedName>
    <definedName name="IQ_CHARGE_OFFS_CREDIT_CARDS_FDIC" hidden="1">"c6761"</definedName>
    <definedName name="IQ_CHARGE_OFFS_CREDIT_CARDS_RECEIVABLES_FDIC" hidden="1">"c6711"</definedName>
    <definedName name="IQ_CHARGE_OFFS_HOME_EQUITY_FDIC" hidden="1">"c6757"</definedName>
    <definedName name="IQ_CHARGE_OFFS_HOME_EQUITY_LINES_FDIC" hidden="1">"c6712"</definedName>
    <definedName name="IQ_CHARGE_OFFS_INDIVIDUALS_FDIC" hidden="1">"c6760"</definedName>
    <definedName name="IQ_CHARGE_OFFS_MULTI_FAMILY_FDIC" hidden="1">"c6755"</definedName>
    <definedName name="IQ_CHARGE_OFFS_OTHER_1_4_FAMILY_FDIC" hidden="1">"c6758"</definedName>
    <definedName name="IQ_CHARGE_OFFS_OTHER_CONSUMER_LOANS_FDIC" hidden="1">"c6710"</definedName>
    <definedName name="IQ_CHARGE_OFFS_OTHER_INDIVIDUAL_FDIC" hidden="1">"c6762"</definedName>
    <definedName name="IQ_CHARGE_OFFS_OTHER_LOANS_FDIC" hidden="1">"c6763"</definedName>
    <definedName name="IQ_CHARGE_OFFS_OTHER_LOANS_OTHER_FDIC" hidden="1">"c6713"</definedName>
    <definedName name="IQ_CHARGE_OFFS_RE_LOANS_FDIC" hidden="1">"c6752"</definedName>
    <definedName name="IQ_CMO_FDIC" hidden="1">"c6406"</definedName>
    <definedName name="IQ_COLLECTION_DOMESTIC_FDIC" hidden="1">"c6387"</definedName>
    <definedName name="IQ_COMMERCIAL_BANKS_DEPOSITS_FOREIGN_FDIC" hidden="1">"c6480"</definedName>
    <definedName name="IQ_COMMERCIAL_BANKS_LOANS_FDIC" hidden="1">"c6434"</definedName>
    <definedName name="IQ_COMMERCIAL_BANKS_NONTRANSACTION_ACCOUNTS_FDIC" hidden="1">"c6548"</definedName>
    <definedName name="IQ_COMMERCIAL_BANKS_TOTAL_DEPOSITS_FDIC" hidden="1">"c6474"</definedName>
    <definedName name="IQ_COMMERCIAL_BANKS_TOTAL_LOANS_FOREIGN_FDIC" hidden="1">"c6444"</definedName>
    <definedName name="IQ_COMMERCIAL_BANKS_TRANSACTION_ACCOUNTS_FDIC" hidden="1">"c6540"</definedName>
    <definedName name="IQ_COMMERCIAL_DOM" hidden="1">"c177"</definedName>
    <definedName name="IQ_COMMERCIAL_INDUSTRIAL_CHARGE_OFFS_FDIC" hidden="1">"c6598"</definedName>
    <definedName name="IQ_COMMERCIAL_INDUSTRIAL_LOANS_NET_FDIC" hidden="1">"c6317"</definedName>
    <definedName name="IQ_COMMERCIAL_INDUSTRIAL_NET_CHARGE_OFFS_FDIC" hidden="1">"c6636"</definedName>
    <definedName name="IQ_COMMERCIAL_INDUSTRIAL_RECOVERIES_FDIC" hidden="1">"c6617"</definedName>
    <definedName name="IQ_COMMERCIAL_INDUSTRIAL_TOTAL_LOANS_FOREIGN_FDIC" hidden="1">"c6451"</definedName>
    <definedName name="IQ_COMMERCIAL_MORT" hidden="1">"c179"</definedName>
    <definedName name="IQ_COMMERCIAL_RE_CONSTRUCTION_LAND_DEV_FDIC" hidden="1">"c6526"</definedName>
    <definedName name="IQ_COMMERCIAL_RE_LOANS_FDIC" hidden="1">"c6312"</definedName>
    <definedName name="IQ_COMMITMENTS_MATURITY_EXCEEDING_1YR_FDIC" hidden="1">"c6531"</definedName>
    <definedName name="IQ_COMMITMENTS_NOT_SECURED_RE_FDIC" hidden="1">"c6528"</definedName>
    <definedName name="IQ_COMMITMENTS_SECURED_RE_FDIC" hidden="1">"c6527"</definedName>
    <definedName name="IQ_COMMODITY_EXPOSURES_FDIC" hidden="1">"c6665"</definedName>
    <definedName name="IQ_COMMON_APIC_BR" hidden="1">"c185"</definedName>
    <definedName name="IQ_COMMON_FDIC" hidden="1">"c6350"</definedName>
    <definedName name="IQ_COMMON_ISSUED_BR" hidden="1">"c199"</definedName>
    <definedName name="IQ_COMMON_REP_BR" hidden="1">"c208"</definedName>
    <definedName name="IQ_CONSTRUCTION_DEV_LOANS_FDIC" hidden="1">"c6313"</definedName>
    <definedName name="IQ_CONSTRUCTION_LAND_DEVELOPMENT_CHARGE_OFFS_FDIC" hidden="1">"c6594"</definedName>
    <definedName name="IQ_CONSTRUCTION_LAND_DEVELOPMENT_NET_CHARGE_OFFS_FDIC" hidden="1">"c6632"</definedName>
    <definedName name="IQ_CONSTRUCTION_LAND_DEVELOPMENT_RECOVERIES_FDIC" hidden="1">"c6613"</definedName>
    <definedName name="IQ_CONTRACTS_OTHER_COMMODITIES_EQUITIES._FDIC" hidden="1">"c6522"</definedName>
    <definedName name="IQ_CONTRACTS_OTHER_COMMODITIES_EQUITIES_FDIC" hidden="1">"c6522"</definedName>
    <definedName name="IQ_CONV_RATE" hidden="1">"c2192"</definedName>
    <definedName name="IQ_CONVEYED_TO_OTHERS_FDIC" hidden="1">"c6534"</definedName>
    <definedName name="IQ_CORE_CAPITAL_RATIO_FDIC" hidden="1">"c6745"</definedName>
    <definedName name="IQ_CORP_GOODS_PRICE_INDEX_APR_FC_UNUSED_UNUSED_UNUSED" hidden="1">"c8381"</definedName>
    <definedName name="IQ_CORP_GOODS_PRICE_INDEX_APR_UNUSED_UNUSED_UNUSED" hidden="1">"c7501"</definedName>
    <definedName name="IQ_CORP_GOODS_PRICE_INDEX_FC_UNUSED_UNUSED_UNUSED" hidden="1">"c7721"</definedName>
    <definedName name="IQ_CORP_GOODS_PRICE_INDEX_POP_FC_UNUSED_UNUSED_UNUSED" hidden="1">"c7941"</definedName>
    <definedName name="IQ_CORP_GOODS_PRICE_INDEX_POP_UNUSED_UNUSED_UNUSED" hidden="1">"c7061"</definedName>
    <definedName name="IQ_CORP_GOODS_PRICE_INDEX_UNUSED_UNUSED_UNUSED" hidden="1">"c6841"</definedName>
    <definedName name="IQ_CORP_GOODS_PRICE_INDEX_YOY_FC_UNUSED_UNUSED_UNUSED" hidden="1">"c8161"</definedName>
    <definedName name="IQ_CORP_GOODS_PRICE_INDEX_YOY_UNUSED_UNUSED_UNUSED" hidden="1">"c7281"</definedName>
    <definedName name="IQ_COST_OF_FUNDING_ASSETS_FDIC" hidden="1">"c6725"</definedName>
    <definedName name="IQ_CQ">5000</definedName>
    <definedName name="IQ_CREDIT_CARD_CHARGE_OFFS_FDIC" hidden="1">"c6652"</definedName>
    <definedName name="IQ_CREDIT_CARD_LINES_FDIC" hidden="1">"c6525"</definedName>
    <definedName name="IQ_CREDIT_CARD_LOANS_FDIC" hidden="1">"c6319"</definedName>
    <definedName name="IQ_CREDIT_CARD_NET_CHARGE_OFFS_FDIC" hidden="1">"c6654"</definedName>
    <definedName name="IQ_CREDIT_CARD_RECOVERIES_FDIC" hidden="1">"c6653"</definedName>
    <definedName name="IQ_CREDIT_LOSS_PROVISION_NET_CHARGE_OFFS_FDIC" hidden="1">"c6734"</definedName>
    <definedName name="IQ_CURR_ACCT_BALANCE_APR_FC_UNUSED_UNUSED_UNUSED" hidden="1">"c8387"</definedName>
    <definedName name="IQ_CURR_ACCT_BALANCE_APR_UNUSED_UNUSED_UNUSED" hidden="1">"c7507"</definedName>
    <definedName name="IQ_CURR_ACCT_BALANCE_FC_UNUSED_UNUSED_UNUSED" hidden="1">"c7727"</definedName>
    <definedName name="IQ_CURR_ACCT_BALANCE_POP_FC_UNUSED_UNUSED_UNUSED" hidden="1">"c7947"</definedName>
    <definedName name="IQ_CURR_ACCT_BALANCE_POP_UNUSED_UNUSED_UNUSED" hidden="1">"c7067"</definedName>
    <definedName name="IQ_CURR_ACCT_BALANCE_UNUSED_UNUSED_UNUSED" hidden="1">"c6847"</definedName>
    <definedName name="IQ_CURR_ACCT_BALANCE_YOY_FC_UNUSED_UNUSED_UNUSED" hidden="1">"c8167"</definedName>
    <definedName name="IQ_CURR_ACCT_BALANCE_YOY_UNUSED_UNUSED_UNUSED" hidden="1">"c7287"</definedName>
    <definedName name="IQ_CURRENCY_COIN_DOMESTIC_FDIC" hidden="1">"c6388"</definedName>
    <definedName name="IQ_CURRENCY_GAIN_BR" hidden="1">"c236"</definedName>
    <definedName name="IQ_CURRENT_PORT_DEBT_BR" hidden="1">"c1567"</definedName>
    <definedName name="IQ_CY">10000</definedName>
    <definedName name="IQ_DA_BR" hidden="1">"c248"</definedName>
    <definedName name="IQ_DA_CF_BR" hidden="1">"c251"</definedName>
    <definedName name="IQ_DA_SUPPL_BR" hidden="1">"c260"</definedName>
    <definedName name="IQ_DA_SUPPL_CF_BR" hidden="1">"c263"</definedName>
    <definedName name="IQ_DAILY">500000</definedName>
    <definedName name="IQ_DEF_AMORT_BR" hidden="1">"c278"</definedName>
    <definedName name="IQ_DEF_CHARGES_BR" hidden="1">"c288"</definedName>
    <definedName name="IQ_DEF_CHARGES_LT_BR" hidden="1">"c294"</definedName>
    <definedName name="IQ_DEF_TAX_ASSET_LT_BR" hidden="1">"c304"</definedName>
    <definedName name="IQ_DEF_TAX_LIAB_LT_BR" hidden="1">"c315"</definedName>
    <definedName name="IQ_DEMAND_DEPOSITS_FDIC" hidden="1">"c6489"</definedName>
    <definedName name="IQ_DEPOSIT_ACCOUNTS_LESS_THAN_100K_FDIC" hidden="1">"c6494"</definedName>
    <definedName name="IQ_DEPOSIT_ACCOUNTS_MORE_THAN_100K_FDIC" hidden="1">"c6492"</definedName>
    <definedName name="IQ_DEPOSITORY_INSTITUTIONS_CHARGE_OFFS_FDIC" hidden="1">"c6596"</definedName>
    <definedName name="IQ_DEPOSITORY_INSTITUTIONS_NET_CHARGE_OFFS_FDIC" hidden="1">"c6634"</definedName>
    <definedName name="IQ_DEPOSITORY_INSTITUTIONS_RECOVERIES_FDIC" hidden="1">"c6615"</definedName>
    <definedName name="IQ_DEPOSITS_HELD_DOMESTIC_FDIC" hidden="1">"c6340"</definedName>
    <definedName name="IQ_DEPOSITS_HELD_FOREIGN_FDIC" hidden="1">"c6341"</definedName>
    <definedName name="IQ_DEPOSITS_LESS_THAN_100K_AFTER_THREE_YEARS_FDIC" hidden="1">"c6464"</definedName>
    <definedName name="IQ_DEPOSITS_LESS_THAN_100K_THREE_MONTHS_FDIC" hidden="1">"c6461"</definedName>
    <definedName name="IQ_DEPOSITS_LESS_THAN_100K_THREE_YEARS_FDIC" hidden="1">"c6463"</definedName>
    <definedName name="IQ_DEPOSITS_LESS_THAN_100K_TWELVE_MONTHS_FDIC" hidden="1">"c6462"</definedName>
    <definedName name="IQ_DEPOSITS_MORE_THAN_100K_AFTER_THREE_YEARS_FDIC" hidden="1">"c6469"</definedName>
    <definedName name="IQ_DEPOSITS_MORE_THAN_100K_THREE_MONTHS_FDIC" hidden="1">"c6466"</definedName>
    <definedName name="IQ_DEPOSITS_MORE_THAN_100K_THREE_YEARS_FDIC" hidden="1">"c6468"</definedName>
    <definedName name="IQ_DEPOSITS_MORE_THAN_100K_TWELVE_MONTHS_FDIC" hidden="1">"c6467"</definedName>
    <definedName name="IQ_DERIVATIVES_FDIC" hidden="1">"c6523"</definedName>
    <definedName name="IQ_DIVIDENDS_DECLARED_COMMON_FDIC" hidden="1">"c6659"</definedName>
    <definedName name="IQ_DIVIDENDS_DECLARED_PREFERRED_FDIC" hidden="1">"c6658"</definedName>
    <definedName name="IQ_DIVIDENDS_FDIC" hidden="1">"c6660"</definedName>
    <definedName name="IQ_DNTM" hidden="1">700000</definedName>
    <definedName name="IQ_EARNING_ASSETS_FDIC" hidden="1">"c6360"</definedName>
    <definedName name="IQ_EARNING_ASSETS_YIELD_FDIC" hidden="1">"c6724"</definedName>
    <definedName name="IQ_EARNINGS_ANNOUNCE_DATE_REUT" hidden="1">"c5314"</definedName>
    <definedName name="IQ_EARNINGS_COVERAGE_NET_CHARGE_OFFS_FDIC" hidden="1">"c6735"</definedName>
    <definedName name="IQ_EBITDA_EST_REUT" hidden="1">"c3640"</definedName>
    <definedName name="IQ_EBITDA_HIGH_EST_REUT" hidden="1">"c3642"</definedName>
    <definedName name="IQ_EBITDA_LOW_EST_REUT" hidden="1">"c3643"</definedName>
    <definedName name="IQ_EBITDA_MEDIAN_EST_REUT" hidden="1">"c3641"</definedName>
    <definedName name="IQ_EBITDA_NUM_EST_REUT" hidden="1">"c3644"</definedName>
    <definedName name="IQ_EBITDA_STDDEV_EST_REUT" hidden="1">"c3645"</definedName>
    <definedName name="IQ_EBT_BR" hidden="1">"c378"</definedName>
    <definedName name="IQ_EBT_EXCL_BR" hidden="1">"c381"</definedName>
    <definedName name="IQ_ECO_METRIC_6825_UNUSED_UNUSED_UNUSED" hidden="1">"c6825"</definedName>
    <definedName name="IQ_ECO_METRIC_6839_UNUSED_UNUSED_UNUSED" hidden="1">"c6839"</definedName>
    <definedName name="IQ_ECO_METRIC_6896_UNUSED_UNUSED_UNUSED" hidden="1">"c6896"</definedName>
    <definedName name="IQ_ECO_METRIC_6897_UNUSED_UNUSED_UNUSED" hidden="1">"c6897"</definedName>
    <definedName name="IQ_ECO_METRIC_6988_UNUSED_UNUSED_UNUSED" hidden="1">"c6988"</definedName>
    <definedName name="IQ_ECO_METRIC_7045_UNUSED_UNUSED_UNUSED" hidden="1">"c7045"</definedName>
    <definedName name="IQ_ECO_METRIC_7059_UNUSED_UNUSED_UNUSED" hidden="1">"c7059"</definedName>
    <definedName name="IQ_ECO_METRIC_7116_UNUSED_UNUSED_UNUSED" hidden="1">"c7116"</definedName>
    <definedName name="IQ_ECO_METRIC_7117_UNUSED_UNUSED_UNUSED" hidden="1">"c7117"</definedName>
    <definedName name="IQ_ECO_METRIC_7208_UNUSED_UNUSED_UNUSED" hidden="1">"c7208"</definedName>
    <definedName name="IQ_ECO_METRIC_7265_UNUSED_UNUSED_UNUSED" hidden="1">"c7265"</definedName>
    <definedName name="IQ_ECO_METRIC_7279_UNUSED_UNUSED_UNUSED" hidden="1">"c7279"</definedName>
    <definedName name="IQ_ECO_METRIC_7336_UNUSED_UNUSED_UNUSED" hidden="1">"c7336"</definedName>
    <definedName name="IQ_ECO_METRIC_7337_UNUSED_UNUSED_UNUSED" hidden="1">"c7337"</definedName>
    <definedName name="IQ_ECO_METRIC_7428_UNUSED_UNUSED_UNUSED" hidden="1">"c7428"</definedName>
    <definedName name="IQ_ECO_METRIC_7556_UNUSED_UNUSED_UNUSED" hidden="1">"c7556"</definedName>
    <definedName name="IQ_ECO_METRIC_7557_UNUSED_UNUSED_UNUSED" hidden="1">"c7557"</definedName>
    <definedName name="IQ_ECO_METRIC_7648_UNUSED_UNUSED_UNUSED" hidden="1">"c7648"</definedName>
    <definedName name="IQ_ECO_METRIC_7705_UNUSED_UNUSED_UNUSED" hidden="1">"c7705"</definedName>
    <definedName name="IQ_ECO_METRIC_7719_UNUSED_UNUSED_UNUSED" hidden="1">"c7719"</definedName>
    <definedName name="IQ_ECO_METRIC_7776_UNUSED_UNUSED_UNUSED" hidden="1">"c7776"</definedName>
    <definedName name="IQ_ECO_METRIC_7777_UNUSED_UNUSED_UNUSED" hidden="1">"c7777"</definedName>
    <definedName name="IQ_ECO_METRIC_7868_UNUSED_UNUSED_UNUSED" hidden="1">"c7868"</definedName>
    <definedName name="IQ_ECO_METRIC_7925_UNUSED_UNUSED_UNUSED" hidden="1">"c7925"</definedName>
    <definedName name="IQ_ECO_METRIC_7939_UNUSED_UNUSED_UNUSED" hidden="1">"c7939"</definedName>
    <definedName name="IQ_ECO_METRIC_7996_UNUSED_UNUSED_UNUSED" hidden="1">"c7996"</definedName>
    <definedName name="IQ_ECO_METRIC_7997_UNUSED_UNUSED_UNUSED" hidden="1">"c7997"</definedName>
    <definedName name="IQ_ECO_METRIC_8088_UNUSED_UNUSED_UNUSED" hidden="1">"c8088"</definedName>
    <definedName name="IQ_ECO_METRIC_8145_UNUSED_UNUSED_UNUSED" hidden="1">"c8145"</definedName>
    <definedName name="IQ_ECO_METRIC_8159_UNUSED_UNUSED_UNUSED" hidden="1">"c8159"</definedName>
    <definedName name="IQ_ECO_METRIC_8216_UNUSED_UNUSED_UNUSED" hidden="1">"c8216"</definedName>
    <definedName name="IQ_ECO_METRIC_8217_UNUSED_UNUSED_UNUSED" hidden="1">"c8217"</definedName>
    <definedName name="IQ_ECO_METRIC_8308_UNUSED_UNUSED_UNUSED" hidden="1">"c8308"</definedName>
    <definedName name="IQ_ECO_METRIC_8436_UNUSED_UNUSED_UNUSED" hidden="1">"c8436"</definedName>
    <definedName name="IQ_ECO_METRIC_8437_UNUSED_UNUSED_UNUSED" hidden="1">"c8437"</definedName>
    <definedName name="IQ_ECO_METRIC_8528_UNUSED_UNUSED_UNUSED" hidden="1">"c8528"</definedName>
    <definedName name="IQ_EFFICIENCY_RATIO_FDIC" hidden="1">"c6736"</definedName>
    <definedName name="IQ_EPS_EST_REUT" hidden="1">"c5453"</definedName>
    <definedName name="IQ_EPS_GW_EST_REUT" hidden="1">"c5389"</definedName>
    <definedName name="IQ_EPS_GW_HIGH_EST_REUT" hidden="1">"c5391"</definedName>
    <definedName name="IQ_EPS_GW_LOW_EST_REUT" hidden="1">"c5392"</definedName>
    <definedName name="IQ_EPS_GW_MEDIAN_EST_REUT" hidden="1">"c5390"</definedName>
    <definedName name="IQ_EPS_GW_NUM_EST_REUT" hidden="1">"c5393"</definedName>
    <definedName name="IQ_EPS_GW_STDDEV_EST_REUT" hidden="1">"c5394"</definedName>
    <definedName name="IQ_EPS_HIGH_EST_REUT" hidden="1">"c5454"</definedName>
    <definedName name="IQ_EPS_LOW_EST_REUT" hidden="1">"c5455"</definedName>
    <definedName name="IQ_EPS_MEDIAN_EST_REUT" hidden="1">"c5456"</definedName>
    <definedName name="IQ_EPS_NORM_EST_REUT" hidden="1">"c5326"</definedName>
    <definedName name="IQ_EPS_NORM_HIGH_EST_REUT" hidden="1">"c5328"</definedName>
    <definedName name="IQ_EPS_NORM_LOW_EST_REUT" hidden="1">"c5329"</definedName>
    <definedName name="IQ_EPS_NORM_MEDIAN_EST_REUT" hidden="1">"c5327"</definedName>
    <definedName name="IQ_EPS_NORM_NUM_EST_REUT" hidden="1">"c5330"</definedName>
    <definedName name="IQ_EPS_NORM_STDDEV_EST_REUT" hidden="1">"c5331"</definedName>
    <definedName name="IQ_EPS_NUM_EST_REUT" hidden="1">"c5451"</definedName>
    <definedName name="IQ_EPS_REPORTED_EST_REUT" hidden="1">"c5396"</definedName>
    <definedName name="IQ_EPS_REPORTED_HIGH_EST_REUT" hidden="1">"c5398"</definedName>
    <definedName name="IQ_EPS_REPORTED_LOW_EST_REUT" hidden="1">"c5399"</definedName>
    <definedName name="IQ_EPS_REPORTED_MEDIAN_EST_REUT" hidden="1">"c5397"</definedName>
    <definedName name="IQ_EPS_REPORTED_NUM_EST_REUT" hidden="1">"c5400"</definedName>
    <definedName name="IQ_EPS_REPORTED_STDDEV_EST_REUT" hidden="1">"c5401"</definedName>
    <definedName name="IQ_EPS_STDDEV_EST_REUT" hidden="1">"c5452"</definedName>
    <definedName name="IQ_EQUITY_CAPITAL_ASSETS_FDIC" hidden="1">"c6744"</definedName>
    <definedName name="IQ_EQUITY_FDIC" hidden="1">"c6353"</definedName>
    <definedName name="IQ_EQUITY_SECURITIES_FDIC" hidden="1">"c6304"</definedName>
    <definedName name="IQ_EQUITY_SECURITY_EXPOSURES_FDIC" hidden="1">"c6664"</definedName>
    <definedName name="IQ_EST_ACT_EPS_GW_REUT" hidden="1">"c5395"</definedName>
    <definedName name="IQ_EST_ACT_EPS_NORM_REUT" hidden="1">"c5332"</definedName>
    <definedName name="IQ_EST_ACT_EPS_REPORTED_REUT" hidden="1">"c5402"</definedName>
    <definedName name="IQ_EST_CURRENCY_REUT" hidden="1">"c5437"</definedName>
    <definedName name="IQ_EST_DATE_REUT" hidden="1">"c5438"</definedName>
    <definedName name="IQ_EST_EPS_GROWTH_1YR_REUT" hidden="1">"c3646"</definedName>
    <definedName name="IQ_EST_EPS_GROWTH_5YR_REUT" hidden="1">"c3633"</definedName>
    <definedName name="IQ_EST_EPS_GROWTH_Q_1YR_REUT" hidden="1">"c5410"</definedName>
    <definedName name="IQ_EST_EPS_GW_DIFF_REUT" hidden="1">"c5429"</definedName>
    <definedName name="IQ_EST_EPS_GW_SURPRISE_PERCENT_REUT" hidden="1">"c5430"</definedName>
    <definedName name="IQ_EST_EPS_NORM_DIFF_REUT" hidden="1">"c5411"</definedName>
    <definedName name="IQ_EST_EPS_NORM_SURPRISE_PERCENT_REUT" hidden="1">"c5412"</definedName>
    <definedName name="IQ_EST_EPS_REPORT_DIFF_REUT" hidden="1">"c5431"</definedName>
    <definedName name="IQ_EST_EPS_REPORT_SURPRISE_PERCENT_REUT" hidden="1">"c5432"</definedName>
    <definedName name="IQ_ESTIMATED_ASSESSABLE_DEPOSITS_FDIC" hidden="1">"c6490"</definedName>
    <definedName name="IQ_ESTIMATED_INSURED_DEPOSITS_FDIC" hidden="1">"c6491"</definedName>
    <definedName name="IQ_EXPORTS_APR_FC_UNUSED_UNUSED_UNUSED" hidden="1">"c8401"</definedName>
    <definedName name="IQ_EXPORTS_APR_UNUSED_UNUSED_UNUSED" hidden="1">"c7521"</definedName>
    <definedName name="IQ_EXPORTS_FC_UNUSED_UNUSED_UNUSED" hidden="1">"c7741"</definedName>
    <definedName name="IQ_EXPORTS_GOODS_REAL_SAAR_APR_FC_UNUSED_UNUSED_UNUSED" hidden="1">"c8512"</definedName>
    <definedName name="IQ_EXPORTS_GOODS_REAL_SAAR_APR_UNUSED_UNUSED_UNUSED" hidden="1">"c7632"</definedName>
    <definedName name="IQ_EXPORTS_GOODS_REAL_SAAR_FC_UNUSED_UNUSED_UNUSED" hidden="1">"c7852"</definedName>
    <definedName name="IQ_EXPORTS_GOODS_REAL_SAAR_POP_FC_UNUSED_UNUSED_UNUSED" hidden="1">"c8072"</definedName>
    <definedName name="IQ_EXPORTS_GOODS_REAL_SAAR_POP_UNUSED_UNUSED_UNUSED" hidden="1">"c7192"</definedName>
    <definedName name="IQ_EXPORTS_GOODS_REAL_SAAR_UNUSED_UNUSED_UNUSED" hidden="1">"c6972"</definedName>
    <definedName name="IQ_EXPORTS_GOODS_REAL_SAAR_YOY_FC_UNUSED_UNUSED_UNUSED" hidden="1">"c8292"</definedName>
    <definedName name="IQ_EXPORTS_GOODS_REAL_SAAR_YOY_UNUSED_UNUSED_UNUSED" hidden="1">"c7412"</definedName>
    <definedName name="IQ_EXPORTS_POP_FC_UNUSED_UNUSED_UNUSED" hidden="1">"c7961"</definedName>
    <definedName name="IQ_EXPORTS_POP_UNUSED_UNUSED_UNUSED" hidden="1">"c7081"</definedName>
    <definedName name="IQ_EXPORTS_SERVICES_REAL_SAAR_APR_FC_UNUSED_UNUSED_UNUSED" hidden="1">"c8516"</definedName>
    <definedName name="IQ_EXPORTS_SERVICES_REAL_SAAR_APR_UNUSED_UNUSED_UNUSED" hidden="1">"c7636"</definedName>
    <definedName name="IQ_EXPORTS_SERVICES_REAL_SAAR_FC_UNUSED_UNUSED_UNUSED" hidden="1">"c7856"</definedName>
    <definedName name="IQ_EXPORTS_SERVICES_REAL_SAAR_POP_FC_UNUSED_UNUSED_UNUSED" hidden="1">"c8076"</definedName>
    <definedName name="IQ_EXPORTS_SERVICES_REAL_SAAR_POP_UNUSED_UNUSED_UNUSED" hidden="1">"c7196"</definedName>
    <definedName name="IQ_EXPORTS_SERVICES_REAL_SAAR_UNUSED_UNUSED_UNUSED" hidden="1">"c6976"</definedName>
    <definedName name="IQ_EXPORTS_SERVICES_REAL_SAAR_YOY_FC_UNUSED_UNUSED_UNUSED" hidden="1">"c8296"</definedName>
    <definedName name="IQ_EXPORTS_SERVICES_REAL_SAAR_YOY_UNUSED_UNUSED_UNUSED" hidden="1">"c7416"</definedName>
    <definedName name="IQ_EXPORTS_UNUSED_UNUSED_UNUSED" hidden="1">"c6861"</definedName>
    <definedName name="IQ_EXPORTS_YOY_FC_UNUSED_UNUSED_UNUSED" hidden="1">"c8181"</definedName>
    <definedName name="IQ_EXPORTS_YOY_UNUSED_UNUSED_UNUSED" hidden="1">"c7301"</definedName>
    <definedName name="IQ_EXTRA_ACC_ITEMS_BR" hidden="1">"c412"</definedName>
    <definedName name="IQ_EXTRAORDINARY_GAINS_FDIC" hidden="1">"c6586"</definedName>
    <definedName name="IQ_FAIR_VALUE_FDIC" hidden="1">"c6427"</definedName>
    <definedName name="IQ_FARM_LOANS_NET_FDIC" hidden="1">"c6316"</definedName>
    <definedName name="IQ_FARM_LOANS_TOTAL_LOANS_FOREIGN_FDIC" hidden="1">"c6450"</definedName>
    <definedName name="IQ_FARMLAND_LOANS_FDIC" hidden="1">"c6314"</definedName>
    <definedName name="IQ_FED_FUNDS_PURCHASED_FDIC" hidden="1">"c6343"</definedName>
    <definedName name="IQ_FED_FUNDS_SOLD_FDIC" hidden="1">"c6307"</definedName>
    <definedName name="IQ_FH">100000</definedName>
    <definedName name="IQ_FHLB_ADVANCES_FDIC" hidden="1">"c6366"</definedName>
    <definedName name="IQ_FIDUCIARY_ACTIVITIES_FDIC" hidden="1">"c6571"</definedName>
    <definedName name="IQ_FIFETEEN_YEAR_FIXED_AND_FLOATING_RATE_FDIC" hidden="1">"c6423"</definedName>
    <definedName name="IQ_FIFETEEN_YEAR_MORTGAGE_PASS_THROUGHS_FDIC" hidden="1">"c6415"</definedName>
    <definedName name="IQ_FISCAL_Q_EST_REUT" hidden="1">"c6798"</definedName>
    <definedName name="IQ_FISCAL_Y_EST_REUT" hidden="1">"c6799"</definedName>
    <definedName name="IQ_FIVE_YEAR_FIXED_AND_FLOATING_RATE_FDIC" hidden="1">"c6422"</definedName>
    <definedName name="IQ_FIVE_YEAR_MORTGAGE_PASS_THROUGHS_FDIC" hidden="1">"c6414"</definedName>
    <definedName name="IQ_FIXED_INVEST_APR_FC_UNUSED_UNUSED_UNUSED" hidden="1">"c8410"</definedName>
    <definedName name="IQ_FIXED_INVEST_APR_UNUSED_UNUSED_UNUSED" hidden="1">"c7530"</definedName>
    <definedName name="IQ_FIXED_INVEST_FC_UNUSED_UNUSED_UNUSED" hidden="1">"c7750"</definedName>
    <definedName name="IQ_FIXED_INVEST_POP_FC_UNUSED_UNUSED_UNUSED" hidden="1">"c7970"</definedName>
    <definedName name="IQ_FIXED_INVEST_POP_UNUSED_UNUSED_UNUSED" hidden="1">"c7090"</definedName>
    <definedName name="IQ_FIXED_INVEST_REAL_APR_FC_UNUSED_UNUSED_UNUSED" hidden="1">"c8518"</definedName>
    <definedName name="IQ_FIXED_INVEST_REAL_APR_UNUSED_UNUSED_UNUSED" hidden="1">"c7638"</definedName>
    <definedName name="IQ_FIXED_INVEST_REAL_FC_UNUSED_UNUSED_UNUSED" hidden="1">"c7858"</definedName>
    <definedName name="IQ_FIXED_INVEST_REAL_POP_FC_UNUSED_UNUSED_UNUSED" hidden="1">"c8078"</definedName>
    <definedName name="IQ_FIXED_INVEST_REAL_POP_UNUSED_UNUSED_UNUSED" hidden="1">"c7198"</definedName>
    <definedName name="IQ_FIXED_INVEST_REAL_UNUSED_UNUSED_UNUSED" hidden="1">"c6978"</definedName>
    <definedName name="IQ_FIXED_INVEST_REAL_YOY_FC_UNUSED_UNUSED_UNUSED" hidden="1">"c8298"</definedName>
    <definedName name="IQ_FIXED_INVEST_REAL_YOY_UNUSED_UNUSED_UNUSED" hidden="1">"c7418"</definedName>
    <definedName name="IQ_FIXED_INVEST_UNUSED_UNUSED_UNUSED" hidden="1">"c6870"</definedName>
    <definedName name="IQ_FIXED_INVEST_YOY_FC_UNUSED_UNUSED_UNUSED" hidden="1">"c8190"</definedName>
    <definedName name="IQ_FIXED_INVEST_YOY_UNUSED_UNUSED_UNUSED" hidden="1">"c7310"</definedName>
    <definedName name="IQ_FNMA_FHLMC_FDIC" hidden="1">"c6397"</definedName>
    <definedName name="IQ_FNMA_FHLMC_GNMA_FDIC" hidden="1">"c6399"</definedName>
    <definedName name="IQ_FORECLOSED_PROPERTIES_FDIC" hidden="1">"c6459"</definedName>
    <definedName name="IQ_FOREIGN_BANK_LOANS_FDIC" hidden="1">"c6437"</definedName>
    <definedName name="IQ_FOREIGN_BANKS_DEPOSITS_FOREIGN_FDIC" hidden="1">"c6481"</definedName>
    <definedName name="IQ_FOREIGN_BANKS_LOAN_CHARG_OFFS_FDIC" hidden="1">"c6645"</definedName>
    <definedName name="IQ_FOREIGN_BANKS_NET_CHARGE_OFFS_FDIC" hidden="1">"c6647"</definedName>
    <definedName name="IQ_FOREIGN_BANKS_NONTRANSACTION_ACCOUNTS_FDIC" hidden="1">"c6550"</definedName>
    <definedName name="IQ_FOREIGN_BANKS_RECOVERIES_FDIC" hidden="1">"c6646"</definedName>
    <definedName name="IQ_FOREIGN_BANKS_TRANSACTION_ACCOUNTS_FDIC" hidden="1">"c6542"</definedName>
    <definedName name="IQ_FOREIGN_BRANCHES_U.S._BANKS_LOANS_FDIC" hidden="1">"c6438"</definedName>
    <definedName name="IQ_FOREIGN_BRANCHES_US_BANKS_FDIC" hidden="1">"c6392"</definedName>
    <definedName name="IQ_FOREIGN_BRANCHES_US_BANKS_LOANS_FDIC" hidden="1">"c6438"</definedName>
    <definedName name="IQ_FOREIGN_COUNTRIES_BANKS_TOTAL_LOANS_FOREIGN_FDIC" hidden="1">"c6445"</definedName>
    <definedName name="IQ_FOREIGN_DEBT_SECURITIES_FDIC" hidden="1">"c6303"</definedName>
    <definedName name="IQ_FOREIGN_DEPOSITS_NONTRANSACTION_ACCOUNTS_FDIC" hidden="1">"c6549"</definedName>
    <definedName name="IQ_FOREIGN_DEPOSITS_TRANSACTION_ACCOUNTS_FDIC" hidden="1">"c6541"</definedName>
    <definedName name="IQ_FOREIGN_EXCHANGE_EXPOSURES_FDIC" hidden="1">"c6663"</definedName>
    <definedName name="IQ_FOREIGN_GOVERNMENT_LOANS_FDIC" hidden="1">"c6430"</definedName>
    <definedName name="IQ_FOREIGN_GOVERNMENTS_CHARGE_OFFS_FDIC" hidden="1">"c6600"</definedName>
    <definedName name="IQ_FOREIGN_GOVERNMENTS_DEPOSITS_FOREIGN_FDIC" hidden="1">"c6482"</definedName>
    <definedName name="IQ_FOREIGN_GOVERNMENTS_NET_CHARGE_OFFS_FDIC" hidden="1">"c6638"</definedName>
    <definedName name="IQ_FOREIGN_GOVERNMENTS_NONTRANSACTION_ACCOUNTS_FDIC" hidden="1">"c6551"</definedName>
    <definedName name="IQ_FOREIGN_GOVERNMENTS_RECOVERIES_FDIC" hidden="1">"c6619"</definedName>
    <definedName name="IQ_FOREIGN_GOVERNMENTS_TOTAL_DEPOSITS_FDIC" hidden="1">"c6476"</definedName>
    <definedName name="IQ_FOREIGN_GOVERNMENTS_TRANSACTION_ACCOUNTS_FDIC" hidden="1">"c6543"</definedName>
    <definedName name="IQ_FQ">500</definedName>
    <definedName name="IQ_FULLY_INSURED_DEPOSITS_FDIC" hidden="1">"c6487"</definedName>
    <definedName name="IQ_FUTURES_FORWARD_CONTRACTS_NOTIONAL_AMOUNT_FDIC" hidden="1">"c6518"</definedName>
    <definedName name="IQ_FUTURES_FORWARD_CONTRACTS_RATE_RISK_FDIC" hidden="1">"c6508"</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X_CONTRACTS_FDIC" hidden="1">"c6517"</definedName>
    <definedName name="IQ_FX_CONTRACTS_SPOT_FDIC" hidden="1">"c6356"</definedName>
    <definedName name="IQ_FY">1000</definedName>
    <definedName name="IQ_GAIN_ASSETS_BR" hidden="1">"c454"</definedName>
    <definedName name="IQ_GAIN_ASSETS_CF_BR" hidden="1">"c457"</definedName>
    <definedName name="IQ_GAIN_ASSETS_REV_BR" hidden="1">"c474"</definedName>
    <definedName name="IQ_GAIN_INVEST_BR" hidden="1">"c1464"</definedName>
    <definedName name="IQ_GAIN_INVEST_CF_BR" hidden="1">"c482"</definedName>
    <definedName name="IQ_GAIN_INVEST_REV_BR" hidden="1">"c496"</definedName>
    <definedName name="IQ_GAIN_SALE_LOANS_FDIC" hidden="1">"c6673"</definedName>
    <definedName name="IQ_GAIN_SALE_RE_FDIC" hidden="1">"c6674"</definedName>
    <definedName name="IQ_GAINS_SALE_ASSETS_FDIC" hidden="1">"c6675"</definedName>
    <definedName name="IQ_GNMA_FDIC" hidden="1">"c6398"</definedName>
    <definedName name="IQ_GOODWILL_FDIC" hidden="1">"c6334"</definedName>
    <definedName name="IQ_GOODWILL_IMPAIRMENT_FDIC" hidden="1">"c6678"</definedName>
    <definedName name="IQ_GOODWILL_INTAN_FDIC" hidden="1">"c6333"</definedName>
    <definedName name="IQ_GW_AMORT_BR" hidden="1">"c532"</definedName>
    <definedName name="IQ_GW_INTAN_AMORT_BR" hidden="1">"c1470"</definedName>
    <definedName name="IQ_GW_INTAN_AMORT_CF_BR" hidden="1">"c1473"</definedName>
    <definedName name="IQ_HELD_MATURITY_FDIC" hidden="1">"c6408"</definedName>
    <definedName name="IQ_HIGH_TARGET_PRICE_REUT" hidden="1">"c5317"</definedName>
    <definedName name="IQ_HOME_EQUITY_LOC_NET_CHARGE_OFFS_FDIC" hidden="1">"c6644"</definedName>
    <definedName name="IQ_HOME_EQUITY_LOC_TOTAL_CHARGE_OFFS_FDIC" hidden="1">"c6606"</definedName>
    <definedName name="IQ_HOME_EQUITY_LOC_TOTAL_RECOVERIES_FDIC" hidden="1">"c6625"</definedName>
    <definedName name="IQ_HOUSING_COMPLETIONS_SINGLE_FAM_APR_FC_UNUSED_UNUSED_UNUSED" hidden="1">"c8422"</definedName>
    <definedName name="IQ_HOUSING_COMPLETIONS_SINGLE_FAM_APR_UNUSED_UNUSED_UNUSED" hidden="1">"c7542"</definedName>
    <definedName name="IQ_HOUSING_COMPLETIONS_SINGLE_FAM_FC_UNUSED_UNUSED_UNUSED" hidden="1">"c7762"</definedName>
    <definedName name="IQ_HOUSING_COMPLETIONS_SINGLE_FAM_POP_FC_UNUSED_UNUSED_UNUSED" hidden="1">"c7982"</definedName>
    <definedName name="IQ_HOUSING_COMPLETIONS_SINGLE_FAM_POP_UNUSED_UNUSED_UNUSED" hidden="1">"c7102"</definedName>
    <definedName name="IQ_HOUSING_COMPLETIONS_SINGLE_FAM_UNUSED_UNUSED_UNUSED" hidden="1">"c6882"</definedName>
    <definedName name="IQ_HOUSING_COMPLETIONS_SINGLE_FAM_YOY_FC_UNUSED_UNUSED_UNUSED" hidden="1">"c8202"</definedName>
    <definedName name="IQ_HOUSING_COMPLETIONS_SINGLE_FAM_YOY_UNUSED_UNUSED_UNUSED" hidden="1">"c7322"</definedName>
    <definedName name="IQ_IMPORTS_GOODS_REAL_SAAR_APR_FC_UNUSED_UNUSED_UNUSED" hidden="1">"c8523"</definedName>
    <definedName name="IQ_IMPORTS_GOODS_REAL_SAAR_APR_UNUSED_UNUSED_UNUSED" hidden="1">"c7643"</definedName>
    <definedName name="IQ_IMPORTS_GOODS_REAL_SAAR_FC_UNUSED_UNUSED_UNUSED" hidden="1">"c7863"</definedName>
    <definedName name="IQ_IMPORTS_GOODS_REAL_SAAR_POP_FC_UNUSED_UNUSED_UNUSED" hidden="1">"c8083"</definedName>
    <definedName name="IQ_IMPORTS_GOODS_REAL_SAAR_POP_UNUSED_UNUSED_UNUSED" hidden="1">"c7203"</definedName>
    <definedName name="IQ_IMPORTS_GOODS_REAL_SAAR_UNUSED_UNUSED_UNUSED" hidden="1">"c6983"</definedName>
    <definedName name="IQ_IMPORTS_GOODS_REAL_SAAR_YOY_FC_UNUSED_UNUSED_UNUSED" hidden="1">"c8303"</definedName>
    <definedName name="IQ_IMPORTS_GOODS_REAL_SAAR_YOY_UNUSED_UNUSED_UNUSED" hidden="1">"c7423"</definedName>
    <definedName name="IQ_IMPORTS_GOODS_SERVICES_APR_FC_UNUSED_UNUSED_UNUSED" hidden="1">"c8429"</definedName>
    <definedName name="IQ_IMPORTS_GOODS_SERVICES_APR_UNUSED_UNUSED_UNUSED" hidden="1">"c7549"</definedName>
    <definedName name="IQ_IMPORTS_GOODS_SERVICES_FC_UNUSED_UNUSED_UNUSED" hidden="1">"c7769"</definedName>
    <definedName name="IQ_IMPORTS_GOODS_SERVICES_POP_FC_UNUSED_UNUSED_UNUSED" hidden="1">"c7989"</definedName>
    <definedName name="IQ_IMPORTS_GOODS_SERVICES_POP_UNUSED_UNUSED_UNUSED" hidden="1">"c7109"</definedName>
    <definedName name="IQ_IMPORTS_GOODS_SERVICES_REAL_SAAR_APR_FC_UNUSED_UNUSED_UNUSED" hidden="1">"c8524"</definedName>
    <definedName name="IQ_IMPORTS_GOODS_SERVICES_REAL_SAAR_APR_UNUSED_UNUSED_UNUSED" hidden="1">"c7644"</definedName>
    <definedName name="IQ_IMPORTS_GOODS_SERVICES_REAL_SAAR_FC_UNUSED_UNUSED_UNUSED" hidden="1">"c7864"</definedName>
    <definedName name="IQ_IMPORTS_GOODS_SERVICES_REAL_SAAR_POP_FC_UNUSED_UNUSED_UNUSED" hidden="1">"c8084"</definedName>
    <definedName name="IQ_IMPORTS_GOODS_SERVICES_REAL_SAAR_POP_UNUSED_UNUSED_UNUSED" hidden="1">"c7204"</definedName>
    <definedName name="IQ_IMPORTS_GOODS_SERVICES_REAL_SAAR_UNUSED_UNUSED_UNUSED" hidden="1">"c6984"</definedName>
    <definedName name="IQ_IMPORTS_GOODS_SERVICES_REAL_SAAR_YOY_FC_UNUSED_UNUSED_UNUSED" hidden="1">"c8304"</definedName>
    <definedName name="IQ_IMPORTS_GOODS_SERVICES_REAL_SAAR_YOY_UNUSED_UNUSED_UNUSED" hidden="1">"c7424"</definedName>
    <definedName name="IQ_IMPORTS_GOODS_SERVICES_UNUSED_UNUSED_UNUSED" hidden="1">"c6889"</definedName>
    <definedName name="IQ_IMPORTS_GOODS_SERVICES_YOY_FC_UNUSED_UNUSED_UNUSED" hidden="1">"c8209"</definedName>
    <definedName name="IQ_IMPORTS_GOODS_SERVICES_YOY_UNUSED_UNUSED_UNUSED" hidden="1">"c7329"</definedName>
    <definedName name="IQ_INC_EQUITY_BR" hidden="1">"c550"</definedName>
    <definedName name="IQ_INCIDENTAL_CHANGES_BUSINESS_COMBINATIONS_FDIC" hidden="1">"c6502"</definedName>
    <definedName name="IQ_INCOME_BEFORE_EXTRA_FDIC" hidden="1">"c6585"</definedName>
    <definedName name="IQ_INCOME_EARNED_FDIC" hidden="1">"c6359"</definedName>
    <definedName name="IQ_INCOME_TAXES_FDIC" hidden="1">"c6582"</definedName>
    <definedName name="IQ_INDIVIDUALS_CHARGE_OFFS_FDIC" hidden="1">"c6599"</definedName>
    <definedName name="IQ_INDIVIDUALS_LOANS_FDIC" hidden="1">"c6318"</definedName>
    <definedName name="IQ_INDIVIDUALS_NET_CHARGE_OFFS_FDIC" hidden="1">"c6637"</definedName>
    <definedName name="IQ_INDIVIDUALS_OTHER_LOANS_FDIC" hidden="1">"c6321"</definedName>
    <definedName name="IQ_INDIVIDUALS_PARTNERSHIPS_CORP_DEPOSITS_FOREIGN_FDIC" hidden="1">"c6479"</definedName>
    <definedName name="IQ_INDIVIDUALS_PARTNERSHIPS_CORP_NONTRANSACTION_ACCOUNTS_FDIC" hidden="1">"c6545"</definedName>
    <definedName name="IQ_INDIVIDUALS_PARTNERSHIPS_CORP_TOTAL_DEPOSITS_FDIC" hidden="1">"c6471"</definedName>
    <definedName name="IQ_INDIVIDUALS_PARTNERSHIPS_CORP_TRANSACTION_ACCOUNTS_FDIC" hidden="1">"c6537"</definedName>
    <definedName name="IQ_INDIVIDUALS_RECOVERIES_FDIC" hidden="1">"c6618"</definedName>
    <definedName name="IQ_INS_SETTLE_BR" hidden="1">"c572"</definedName>
    <definedName name="IQ_INSIDER_LOANS_FDIC" hidden="1">"c6365"</definedName>
    <definedName name="IQ_INSTITUTIONS_EARNINGS_GAINS_FDIC" hidden="1">"c6723"</definedName>
    <definedName name="IQ_INSURANCE_COMMISSION_FEES_FDIC" hidden="1">"c6670"</definedName>
    <definedName name="IQ_INSURANCE_UNDERWRITING_INCOME_FDIC" hidden="1">"c6671"</definedName>
    <definedName name="IQ_INT_DEMAND_NOTES_FDIC" hidden="1">"c6567"</definedName>
    <definedName name="IQ_INT_DOMESTIC_DEPOSITS_FDIC" hidden="1">"c6564"</definedName>
    <definedName name="IQ_INT_EXP_BR" hidden="1">"c586"</definedName>
    <definedName name="IQ_INT_EXP_TOTAL_FDIC" hidden="1">"c6569"</definedName>
    <definedName name="IQ_INT_FED_FUNDS_FDIC" hidden="1">"c6566"</definedName>
    <definedName name="IQ_INT_FOREIGN_DEPOSITS_FDIC" hidden="1">"c6565"</definedName>
    <definedName name="IQ_INT_INC_BR" hidden="1">"c593"</definedName>
    <definedName name="IQ_INT_INC_DEPOSITORY_INST_FDIC" hidden="1">"c6558"</definedName>
    <definedName name="IQ_INT_INC_DOM_LOANS_FDIC" hidden="1">"c6555"</definedName>
    <definedName name="IQ_INT_INC_FED_FUNDS_FDIC" hidden="1">"c6561"</definedName>
    <definedName name="IQ_INT_INC_FOREIGN_LOANS_FDIC" hidden="1">"c6556"</definedName>
    <definedName name="IQ_INT_INC_LEASE_RECEIVABLES_FDIC" hidden="1">"c6557"</definedName>
    <definedName name="IQ_INT_INC_OTHER_FDIC" hidden="1">"c6562"</definedName>
    <definedName name="IQ_INT_INC_SECURITIES_FDIC" hidden="1">"c6559"</definedName>
    <definedName name="IQ_INT_INC_TOTAL_FDIC" hidden="1">"c6563"</definedName>
    <definedName name="IQ_INT_INC_TRADING_ACCOUNTS_FDIC" hidden="1">"c6560"</definedName>
    <definedName name="IQ_INT_SUB_NOTES_FDIC" hidden="1">"c6568"</definedName>
    <definedName name="IQ_INTEREST_BEARING_BALANCES_FDIC" hidden="1">"c6371"</definedName>
    <definedName name="IQ_INTEREST_BEARING_DEPOSITS_DOMESTIC_FDIC" hidden="1">"c6478"</definedName>
    <definedName name="IQ_INTEREST_BEARING_DEPOSITS_FDIC" hidden="1">"c6373"</definedName>
    <definedName name="IQ_INTEREST_BEARING_DEPOSITS_FOREIGN_FDIC" hidden="1">"c6485"</definedName>
    <definedName name="IQ_INTEREST_RATE_CONTRACTS_FDIC" hidden="1">"c6512"</definedName>
    <definedName name="IQ_INTEREST_RATE_EXPOSURES_FDIC" hidden="1">"c6662"</definedName>
    <definedName name="IQ_INVEST_LOANS_CF_BR" hidden="1">"c630"</definedName>
    <definedName name="IQ_INVEST_SECURITY_CF_BR" hidden="1">"c639"</definedName>
    <definedName name="IQ_INVESTMENT_BANKING_OTHER_FEES_FDIC" hidden="1">"c6666"</definedName>
    <definedName name="IQ_IRA_KEOGH_ACCOUNTS_FDIC" hidden="1">"c6496"</definedName>
    <definedName name="IQ_ISM_SERVICES_APR_FC_UNUSED_UNUSED_UNUSED" hidden="1">"c8443"</definedName>
    <definedName name="IQ_ISM_SERVICES_APR_UNUSED_UNUSED_UNUSED" hidden="1">"c7563"</definedName>
    <definedName name="IQ_ISM_SERVICES_FC_UNUSED_UNUSED_UNUSED" hidden="1">"c7783"</definedName>
    <definedName name="IQ_ISM_SERVICES_POP_FC_UNUSED_UNUSED_UNUSED" hidden="1">"c8003"</definedName>
    <definedName name="IQ_ISM_SERVICES_POP_UNUSED_UNUSED_UNUSED" hidden="1">"c7123"</definedName>
    <definedName name="IQ_ISM_SERVICES_UNUSED_UNUSED_UNUSED" hidden="1">"c6903"</definedName>
    <definedName name="IQ_ISM_SERVICES_YOY_FC_UNUSED_UNUSED_UNUSED" hidden="1">"c8223"</definedName>
    <definedName name="IQ_ISM_SERVICES_YOY_UNUSED_UNUSED_UNUSED" hidden="1">"c7343"</definedName>
    <definedName name="IQ_ISSUED_GUARANTEED_US_FDIC" hidden="1">"c6404"</definedName>
    <definedName name="IQ_LATESTK" hidden="1">1000</definedName>
    <definedName name="IQ_LATESTQ" hidden="1">500</definedName>
    <definedName name="IQ_LEASE_FINANCING_RECEIVABLES_CHARGE_OFFS_FDIC" hidden="1">"c6602"</definedName>
    <definedName name="IQ_LEASE_FINANCING_RECEIVABLES_FDIC" hidden="1">"c6433"</definedName>
    <definedName name="IQ_LEASE_FINANCING_RECEIVABLES_NET_CHARGE_OFFS_FDIC" hidden="1">"c6640"</definedName>
    <definedName name="IQ_LEASE_FINANCING_RECEIVABLES_RECOVERIES_FDIC" hidden="1">"c6621"</definedName>
    <definedName name="IQ_LEASE_FINANCING_RECEIVABLES_TOTAL_LOANS_FOREIGN_FDIC" hidden="1">"c6449"</definedName>
    <definedName name="IQ_LEGAL_SETTLE_BR" hidden="1">"c649"</definedName>
    <definedName name="IQ_LIFE_INSURANCE_ASSETS_FDIC" hidden="1">"c6372"</definedName>
    <definedName name="IQ_LOAN_COMMITMENTS_REVOLVING_FDIC" hidden="1">"c6524"</definedName>
    <definedName name="IQ_LOAN_LOSS_ALLOW_FDIC" hidden="1">"c6326"</definedName>
    <definedName name="IQ_LOAN_LOSS_ALLOWANCE_NONCURRENT_LOANS_FDIC" hidden="1">"c6740"</definedName>
    <definedName name="IQ_LOAN_LOSSES_FDIC" hidden="1">"c6580"</definedName>
    <definedName name="IQ_LOANS_AND_LEASES_HELD_FDIC" hidden="1">"c6367"</definedName>
    <definedName name="IQ_LOANS_CF_BR" hidden="1">"c661"</definedName>
    <definedName name="IQ_LOANS_DEPOSITORY_INSTITUTIONS_FDIC" hidden="1">"c6382"</definedName>
    <definedName name="IQ_LOANS_HELD_FOREIGN_FDIC" hidden="1">"c6315"</definedName>
    <definedName name="IQ_LOANS_LEASES_FOREIGN_FDIC" hidden="1">"c6383"</definedName>
    <definedName name="IQ_LOANS_LEASES_GROSS_FDIC" hidden="1">"c6323"</definedName>
    <definedName name="IQ_LOANS_LEASES_GROSS_FOREIGN_FDIC" hidden="1">"c6384"</definedName>
    <definedName name="IQ_LOANS_LEASES_NET_FDIC" hidden="1">"c6327"</definedName>
    <definedName name="IQ_LOANS_LEASES_NET_UNEARNED_FDIC" hidden="1">"c6325"</definedName>
    <definedName name="IQ_LOANS_NOT_SECURED_RE_FDIC" hidden="1">"c6381"</definedName>
    <definedName name="IQ_LOANS_SECURED_BY_RE_CHARGE_OFFS_FDIC" hidden="1">"c6588"</definedName>
    <definedName name="IQ_LOANS_SECURED_BY_RE_RECOVERIES_FDIC" hidden="1">"c6607"</definedName>
    <definedName name="IQ_LOANS_SECURED_NON_US_FDIC" hidden="1">"c6380"</definedName>
    <definedName name="IQ_LOANS_SECURED_RE_NET_CHARGE_OFFS_FDIC" hidden="1">"c6626"</definedName>
    <definedName name="IQ_LOANS_TO_DEPOSITORY_INSTITUTIONS_FOREIGN_FDIC" hidden="1">"c6453"</definedName>
    <definedName name="IQ_LOANS_TO_FOREIGN_GOVERNMENTS_FDIC" hidden="1">"c6448"</definedName>
    <definedName name="IQ_LOANS_TO_INDIVIDUALS_FOREIGN_FDIC" hidden="1">"c6452"</definedName>
    <definedName name="IQ_LONG_TERM_ASSETS_FDIC" hidden="1">"c6361"</definedName>
    <definedName name="IQ_LOSS_ALLOWANCE_LOANS_FDIC" hidden="1">"c6739"</definedName>
    <definedName name="IQ_LOW_TARGET_PRICE_REUT" hidden="1">"c5318"</definedName>
    <definedName name="IQ_LT_DEBT_BR" hidden="1">"c676"</definedName>
    <definedName name="IQ_LT_DEBT_ISSUED_BR" hidden="1">"c683"</definedName>
    <definedName name="IQ_LT_DEBT_REPAID_BR" hidden="1">"c691"</definedName>
    <definedName name="IQ_LT_INVEST_BR" hidden="1">"c698"</definedName>
    <definedName name="IQ_LTM">2000</definedName>
    <definedName name="IQ_LTMMONTH" hidden="1">120000</definedName>
    <definedName name="IQ_MATURITY_ONE_YEAR_LESS_FDIC" hidden="1">"c6425"</definedName>
    <definedName name="IQ_MEDIAN_NEW_HOME_SALES_APR_FC_UNUSED_UNUSED_UNUSED" hidden="1">"c8460"</definedName>
    <definedName name="IQ_MEDIAN_NEW_HOME_SALES_APR_UNUSED_UNUSED_UNUSED" hidden="1">"c7580"</definedName>
    <definedName name="IQ_MEDIAN_NEW_HOME_SALES_FC_UNUSED_UNUSED_UNUSED" hidden="1">"c7800"</definedName>
    <definedName name="IQ_MEDIAN_NEW_HOME_SALES_POP_FC_UNUSED_UNUSED_UNUSED" hidden="1">"c8020"</definedName>
    <definedName name="IQ_MEDIAN_NEW_HOME_SALES_POP_UNUSED_UNUSED_UNUSED" hidden="1">"c7140"</definedName>
    <definedName name="IQ_MEDIAN_NEW_HOME_SALES_UNUSED_UNUSED_UNUSED" hidden="1">"c6920"</definedName>
    <definedName name="IQ_MEDIAN_NEW_HOME_SALES_YOY_FC_UNUSED_UNUSED_UNUSED" hidden="1">"c8240"</definedName>
    <definedName name="IQ_MEDIAN_NEW_HOME_SALES_YOY_UNUSED_UNUSED_UNUSED" hidden="1">"c7360"</definedName>
    <definedName name="IQ_MEDIAN_TARGET_PRICE_REUT" hidden="1">"c5316"</definedName>
    <definedName name="IQ_MERGER_BR" hidden="1">"c715"</definedName>
    <definedName name="IQ_MERGER_RESTRUCTURE_BR" hidden="1">"c721"</definedName>
    <definedName name="IQ_MINORITY_INTEREST_BR" hidden="1">"c729"</definedName>
    <definedName name="IQ_MKTCAP_TOTAL_REV_FWD_REUT" hidden="1">"c4048"</definedName>
    <definedName name="IQ_MONEY_MARKET_DEPOSIT_ACCOUNTS_FDIC" hidden="1">"c6553"</definedName>
    <definedName name="IQ_MONTH">15000</definedName>
    <definedName name="IQ_MORTGAGE_BACKED_SECURITIES_FDIC" hidden="1">"c6402"</definedName>
    <definedName name="IQ_MORTGAGE_SERVICING_FDIC" hidden="1">"c6335"</definedName>
    <definedName name="IQ_MTD" hidden="1">800000</definedName>
    <definedName name="IQ_MULTIFAMILY_RESIDENTIAL_LOANS_FDIC" hidden="1">"c6311"</definedName>
    <definedName name="IQ_NAMES_REVISION_DATE_" hidden="1">"11/26/2024 06:39:23"</definedName>
    <definedName name="IQ_NET_CHARGE_OFFS_FDIC" hidden="1">"c6641"</definedName>
    <definedName name="IQ_NET_CHARGE_OFFS_LOANS_FDIC" hidden="1">"c6751"</definedName>
    <definedName name="IQ_NET_DEBT_ISSUED_BR" hidden="1">"c753"</definedName>
    <definedName name="IQ_NET_INCOME_FDIC" hidden="1">"c6587"</definedName>
    <definedName name="IQ_NET_INT_INC_BNK_FDIC" hidden="1">"c6570"</definedName>
    <definedName name="IQ_NET_INT_INC_BR" hidden="1">"c765"</definedName>
    <definedName name="IQ_NET_INTEREST_MARGIN_FDIC" hidden="1">"c6726"</definedName>
    <definedName name="IQ_NET_LOANS_LEASES_CORE_DEPOSITS_FDIC" hidden="1">"c6743"</definedName>
    <definedName name="IQ_NET_LOANS_LEASES_DEPOSITS_FDIC" hidden="1">"c6742"</definedName>
    <definedName name="IQ_NET_OPERATING_INCOME_ASSETS_FDIC" hidden="1">"c6729"</definedName>
    <definedName name="IQ_NET_SECURITIZATION_INCOME_FDIC" hidden="1">"c6669"</definedName>
    <definedName name="IQ_NET_SERVICING_FEES_FDIC" hidden="1">"c6668"</definedName>
    <definedName name="IQ_NON_INT_EXP_FDIC" hidden="1">"c6579"</definedName>
    <definedName name="IQ_NON_INT_INC_FDIC" hidden="1">"c6575"</definedName>
    <definedName name="IQ_NON_US_ADDRESSEES_TOTAL_LOANS_FOREIGN_FDIC" hidden="1">"c6443"</definedName>
    <definedName name="IQ_NON_US_CHARGE_OFFS_AND_RECOVERIES_FDIC" hidden="1">"c6650"</definedName>
    <definedName name="IQ_NON_US_CHARGE_OFFS_FDIC" hidden="1">"c6648"</definedName>
    <definedName name="IQ_NON_US_COMMERCIAL_INDUSTRIAL_CHARGE_OFFS_FDIC" hidden="1">"c6651"</definedName>
    <definedName name="IQ_NON_US_NET_LOANS_FDIC" hidden="1">"c6376"</definedName>
    <definedName name="IQ_NON_US_RECOVERIES_FDIC" hidden="1">"c6649"</definedName>
    <definedName name="IQ_NONCURRENT_LOANS_1_4_FAMILY_FDIC" hidden="1">"c6770"</definedName>
    <definedName name="IQ_NONCURRENT_LOANS_COMMERCIAL_INDUSTRIAL_FDIC" hidden="1">"c6773"</definedName>
    <definedName name="IQ_NONCURRENT_LOANS_COMMERCIAL_RE_FDIC" hidden="1">"c6768"</definedName>
    <definedName name="IQ_NONCURRENT_LOANS_COMMERCIAL_RE_NOT_SECURED_FDIC" hidden="1">"c6778"</definedName>
    <definedName name="IQ_NONCURRENT_LOANS_CONSTRUCTION_LAND_DEV_FDIC" hidden="1">"c6767"</definedName>
    <definedName name="IQ_NONCURRENT_LOANS_CREDIT_CARD_FDIC" hidden="1">"c6775"</definedName>
    <definedName name="IQ_NONCURRENT_LOANS_GUARANTEED_FDIC" hidden="1">"c6358"</definedName>
    <definedName name="IQ_NONCURRENT_LOANS_HOME_EQUITY_FDIC" hidden="1">"c6771"</definedName>
    <definedName name="IQ_NONCURRENT_LOANS_INDIVIDUALS_FDIC" hidden="1">"c6774"</definedName>
    <definedName name="IQ_NONCURRENT_LOANS_LEASES_FDIC" hidden="1">"c6357"</definedName>
    <definedName name="IQ_NONCURRENT_LOANS_MULTIFAMILY_FDIC" hidden="1">"c6769"</definedName>
    <definedName name="IQ_NONCURRENT_LOANS_OTHER_FAMILY_FDIC" hidden="1">"c6772"</definedName>
    <definedName name="IQ_NONCURRENT_LOANS_OTHER_INDIVIDUAL_FDIC" hidden="1">"c6776"</definedName>
    <definedName name="IQ_NONCURRENT_LOANS_OTHER_LOANS_FDIC" hidden="1">"c6777"</definedName>
    <definedName name="IQ_NONCURRENT_LOANS_RE_FDIC" hidden="1">"c6766"</definedName>
    <definedName name="IQ_NONCURRENT_LOANS_TOTAL_LOANS_FDIC" hidden="1">"c6765"</definedName>
    <definedName name="IQ_NONCURRENT_OREO_ASSETS_FDIC" hidden="1">"c6741"</definedName>
    <definedName name="IQ_NONINTEREST_BEARING_BALANCES_FDIC" hidden="1">"c6394"</definedName>
    <definedName name="IQ_NONINTEREST_BEARING_DEPOSITS_DOMESTIC_FDIC" hidden="1">"c6477"</definedName>
    <definedName name="IQ_NONINTEREST_BEARING_DEPOSITS_FOREIGN_FDIC" hidden="1">"c6484"</definedName>
    <definedName name="IQ_NONINTEREST_EXPENSE_EARNING_ASSETS_FDIC" hidden="1">"c6728"</definedName>
    <definedName name="IQ_NONINTEREST_INCOME_EARNING_ASSETS_FDIC" hidden="1">"c6727"</definedName>
    <definedName name="IQ_NONMORTGAGE_SERVICING_FDIC" hidden="1">"c6336"</definedName>
    <definedName name="IQ_NONRES_FIXED_INVEST_PRIV_APR_FC_UNUSED_UNUSED_UNUSED" hidden="1">"c8468"</definedName>
    <definedName name="IQ_NONRES_FIXED_INVEST_PRIV_APR_UNUSED_UNUSED_UNUSED" hidden="1">"c7588"</definedName>
    <definedName name="IQ_NONRES_FIXED_INVEST_PRIV_FC_UNUSED_UNUSED_UNUSED" hidden="1">"c7808"</definedName>
    <definedName name="IQ_NONRES_FIXED_INVEST_PRIV_POP_FC_UNUSED_UNUSED_UNUSED" hidden="1">"c8028"</definedName>
    <definedName name="IQ_NONRES_FIXED_INVEST_PRIV_POP_UNUSED_UNUSED_UNUSED" hidden="1">"c7148"</definedName>
    <definedName name="IQ_NONRES_FIXED_INVEST_PRIV_UNUSED_UNUSED_UNUSED" hidden="1">"c6928"</definedName>
    <definedName name="IQ_NONRES_FIXED_INVEST_PRIV_YOY_FC_UNUSED_UNUSED_UNUSED" hidden="1">"c8248"</definedName>
    <definedName name="IQ_NONRES_FIXED_INVEST_PRIV_YOY_UNUSED_UNUSED_UNUSED" hidden="1">"c7368"</definedName>
    <definedName name="IQ_NONTRANSACTION_ACCOUNTS_FDIC" hidden="1">"c6552"</definedName>
    <definedName name="IQ_NOTIONAL_AMOUNT_CREDIT_DERIVATIVES_FDIC" hidden="1">"c6507"</definedName>
    <definedName name="IQ_NOTIONAL_VALUE_EXCHANGE_SWAPS_FDIC" hidden="1">"c6516"</definedName>
    <definedName name="IQ_NOTIONAL_VALUE_OTHER_SWAPS_FDIC" hidden="1">"c6521"</definedName>
    <definedName name="IQ_NOTIONAL_VALUE_RATE_SWAPS_FDIC" hidden="1">"c6511"</definedName>
    <definedName name="IQ_NTM">6000</definedName>
    <definedName name="IQ_NUMBER_DEPOSITS_LESS_THAN_100K_FDIC" hidden="1">"c6495"</definedName>
    <definedName name="IQ_NUMBER_DEPOSITS_MORE_THAN_100K_FDIC" hidden="1">"c6493"</definedName>
    <definedName name="IQ_OBLIGATIONS_OF_STATES_TOTAL_LOANS_FOREIGN_FDIC" hidden="1">"c6447"</definedName>
    <definedName name="IQ_OBLIGATIONS_STATES_FDIC" hidden="1">"c6431"</definedName>
    <definedName name="IQ_OG_TOTAL_OIL_PRODUCTON" hidden="1">"c2059"</definedName>
    <definedName name="IQ_OPER_INC_BR" hidden="1">"c850"</definedName>
    <definedName name="IQ_OREO_1_4_RESIDENTIAL_FDIC" hidden="1">"c6454"</definedName>
    <definedName name="IQ_OREO_COMMERCIAL_RE_FDIC" hidden="1">"c6456"</definedName>
    <definedName name="IQ_OREO_CONSTRUCTION_DEVELOPMENT_FDIC" hidden="1">"c6457"</definedName>
    <definedName name="IQ_OREO_FARMLAND_FDIC" hidden="1">"c6458"</definedName>
    <definedName name="IQ_OREO_FOREIGN_FDIC" hidden="1">"c6460"</definedName>
    <definedName name="IQ_OREO_MULTI_FAMILY_RESIDENTIAL_FDIC" hidden="1">"c6455"</definedName>
    <definedName name="IQ_OTHER_AMORT_BR" hidden="1">"c5566"</definedName>
    <definedName name="IQ_OTHER_ASSETS_BR" hidden="1">"c862"</definedName>
    <definedName name="IQ_OTHER_ASSETS_FDIC" hidden="1">"c6338"</definedName>
    <definedName name="IQ_OTHER_BORROWED_FUNDS_FDIC" hidden="1">"c6345"</definedName>
    <definedName name="IQ_OTHER_CA_SUPPL_BR" hidden="1">"c871"</definedName>
    <definedName name="IQ_OTHER_CL_SUPPL_BR" hidden="1">"c880"</definedName>
    <definedName name="IQ_OTHER_COMPREHENSIVE_INCOME_FDIC" hidden="1">"c6503"</definedName>
    <definedName name="IQ_OTHER_DEPOSITORY_INSTITUTIONS_LOANS_FDIC" hidden="1">"c6436"</definedName>
    <definedName name="IQ_OTHER_DEPOSITORY_INSTITUTIONS_TOTAL_LOANS_FOREIGN_FDIC" hidden="1">"c6442"</definedName>
    <definedName name="IQ_OTHER_DOMESTIC_DEBT_SECURITIES_FDIC" hidden="1">"c6302"</definedName>
    <definedName name="IQ_OTHER_EQUITY_BR" hidden="1">"c888"</definedName>
    <definedName name="IQ_OTHER_FINANCE_ACT_BR" hidden="1">"c895"</definedName>
    <definedName name="IQ_OTHER_FINANCE_ACT_SUPPL_BR" hidden="1">"c901"</definedName>
    <definedName name="IQ_OTHER_INSURANCE_FEES_FDIC" hidden="1">"c6672"</definedName>
    <definedName name="IQ_OTHER_INTAN_BR" hidden="1">"c909"</definedName>
    <definedName name="IQ_OTHER_INTANGIBLE_FDIC" hidden="1">"c6337"</definedName>
    <definedName name="IQ_OTHER_INVEST_ACT_BR" hidden="1">"c918"</definedName>
    <definedName name="IQ_OTHER_INVEST_ACT_SUPPL_BR" hidden="1">"c924"</definedName>
    <definedName name="IQ_OTHER_LIAB_BR" hidden="1">"c932"</definedName>
    <definedName name="IQ_OTHER_LIAB_LT_BR" hidden="1">"c937"</definedName>
    <definedName name="IQ_OTHER_LIABILITIES_FDIC" hidden="1">"c6347"</definedName>
    <definedName name="IQ_OTHER_LOANS_CHARGE_OFFS_FDIC" hidden="1">"c6601"</definedName>
    <definedName name="IQ_OTHER_LOANS_FOREIGN_FDIC" hidden="1">"c6446"</definedName>
    <definedName name="IQ_OTHER_LOANS_LEASES_FDIC" hidden="1">"c6322"</definedName>
    <definedName name="IQ_OTHER_LOANS_NET_CHARGE_OFFS_FDIC" hidden="1">"c6639"</definedName>
    <definedName name="IQ_OTHER_LOANS_RECOVERIES_FDIC" hidden="1">"c6620"</definedName>
    <definedName name="IQ_OTHER_LOANS_TOTAL_FDIC" hidden="1">"c6432"</definedName>
    <definedName name="IQ_OTHER_LT_ASSETS_BR" hidden="1">"c948"</definedName>
    <definedName name="IQ_OTHER_NON_INT_EXP_FDIC" hidden="1">"c6578"</definedName>
    <definedName name="IQ_OTHER_NON_INT_EXPENSE_FDIC" hidden="1">"c6679"</definedName>
    <definedName name="IQ_OTHER_NON_INT_INC_FDIC" hidden="1">"c6676"</definedName>
    <definedName name="IQ_OTHER_NON_OPER_EXP_BR" hidden="1">"c957"</definedName>
    <definedName name="IQ_OTHER_NON_OPER_EXP_SUPPL_BR" hidden="1">"c962"</definedName>
    <definedName name="IQ_OTHER_OFF_BS_LIAB_FDIC" hidden="1">"c6533"</definedName>
    <definedName name="IQ_OTHER_OPER_ACT_BR" hidden="1">"c985"</definedName>
    <definedName name="IQ_OTHER_OPER_BR" hidden="1">"c990"</definedName>
    <definedName name="IQ_OTHER_OPER_SUPPL_BR" hidden="1">"c994"</definedName>
    <definedName name="IQ_OTHER_OPER_TOT_BR" hidden="1">"c1000"</definedName>
    <definedName name="IQ_OTHER_RE_OWNED_FDIC" hidden="1">"c6330"</definedName>
    <definedName name="IQ_OTHER_REV_BR" hidden="1">"c1011"</definedName>
    <definedName name="IQ_OTHER_REV_SUPPL_BR" hidden="1">"c1016"</definedName>
    <definedName name="IQ_OTHER_SAVINGS_DEPOSITS_FDIC" hidden="1">"c6554"</definedName>
    <definedName name="IQ_OTHER_TRANSACTIONS_FDIC" hidden="1">"c6504"</definedName>
    <definedName name="IQ_OTHER_UNUSED_COMMITMENTS_FDIC" hidden="1">"c6530"</definedName>
    <definedName name="IQ_OTHER_UNUSUAL_BR" hidden="1">"c1561"</definedName>
    <definedName name="IQ_OTHER_UNUSUAL_SUPPL_BR" hidden="1">"c1496"</definedName>
    <definedName name="IQ_OVER_FIFETEEN_YEAR_MORTGAGE_PASS_THROUGHS_FDIC" hidden="1">"c6416"</definedName>
    <definedName name="IQ_OVER_FIFTEEN_YEAR_FIXED_AND_FLOATING_RATE_FDIC" hidden="1">"c6424"</definedName>
    <definedName name="IQ_OVER_THREE_YEARS_FDIC" hidden="1">"c6418"</definedName>
    <definedName name="IQ_PARTICIPATION_POOLS_RESIDENTIAL_MORTGAGES_FDIC" hidden="1">"c6403"</definedName>
    <definedName name="IQ_PAST_DUE_30_1_4_FAMILY_LOANS_FDIC" hidden="1">"c6693"</definedName>
    <definedName name="IQ_PAST_DUE_30_AUTO_LOANS_FDIC" hidden="1">"c6687"</definedName>
    <definedName name="IQ_PAST_DUE_30_CL_LOANS_FDIC" hidden="1">"c6688"</definedName>
    <definedName name="IQ_PAST_DUE_30_CREDIT_CARDS_RECEIVABLES_FDIC" hidden="1">"c6690"</definedName>
    <definedName name="IQ_PAST_DUE_30_HOME_EQUITY_LINES_FDIC" hidden="1">"c6691"</definedName>
    <definedName name="IQ_PAST_DUE_30_OTHER_CONSUMER_LOANS_FDIC" hidden="1">"c6689"</definedName>
    <definedName name="IQ_PAST_DUE_30_OTHER_LOANS_FDIC" hidden="1">"c6692"</definedName>
    <definedName name="IQ_PAST_DUE_90_1_4_FAMILY_LOANS_FDIC" hidden="1">"c6700"</definedName>
    <definedName name="IQ_PAST_DUE_90_AUTO_LOANS_FDIC" hidden="1">"c6694"</definedName>
    <definedName name="IQ_PAST_DUE_90_CL_LOANS_FDIC" hidden="1">"c6695"</definedName>
    <definedName name="IQ_PAST_DUE_90_CREDIT_CARDS_RECEIVABLES_FDIC" hidden="1">"c6697"</definedName>
    <definedName name="IQ_PAST_DUE_90_HOME_EQUITY_LINES_FDIC" hidden="1">"c6698"</definedName>
    <definedName name="IQ_PAST_DUE_90_OTHER_CONSUMER_LOANS_FDIC" hidden="1">"c6696"</definedName>
    <definedName name="IQ_PAST_DUE_90_OTHER_LOANS_FDIC" hidden="1">"c6699"</definedName>
    <definedName name="IQ_PC_WRITTEN" hidden="1">"c1027"</definedName>
    <definedName name="IQ_PE_EXCL_FWD_REUT" hidden="1">"c4049"</definedName>
    <definedName name="IQ_PEG_FWD_REUT" hidden="1">"c4052"</definedName>
    <definedName name="IQ_PERCENT_INSURED_FDIC" hidden="1">"c6374"</definedName>
    <definedName name="IQ_PLEDGED_SECURITIES_FDIC" hidden="1">"c6401"</definedName>
    <definedName name="IQ_PRE_TAX_INCOME_FDIC" hidden="1">"c6581"</definedName>
    <definedName name="IQ_PREF_ISSUED_BR" hidden="1">"c1047"</definedName>
    <definedName name="IQ_PREF_OTHER_BR" hidden="1">"c1055"</definedName>
    <definedName name="IQ_PREF_REP_BR" hidden="1">"c1062"</definedName>
    <definedName name="IQ_PREFERRED_FDIC" hidden="1">"c6349"</definedName>
    <definedName name="IQ_PREMISES_EQUIPMENT_FDIC" hidden="1">"c6577"</definedName>
    <definedName name="IQ_PRETAX_RETURN_ASSETS_FDIC" hidden="1">"c6731"</definedName>
    <definedName name="IQ_PRICE_TARGET_REUT" hidden="1">"c3631"</definedName>
    <definedName name="IQ_PRIVATE_CONST_TOTAL_APR_FC_UNUSED_UNUSED_UNUSED" hidden="1">"c8559"</definedName>
    <definedName name="IQ_PRIVATE_CONST_TOTAL_APR_UNUSED_UNUSED_UNUSED" hidden="1">"c7679"</definedName>
    <definedName name="IQ_PRIVATE_CONST_TOTAL_FC_UNUSED_UNUSED_UNUSED" hidden="1">"c7899"</definedName>
    <definedName name="IQ_PRIVATE_CONST_TOTAL_POP_FC_UNUSED_UNUSED_UNUSED" hidden="1">"c8119"</definedName>
    <definedName name="IQ_PRIVATE_CONST_TOTAL_POP_UNUSED_UNUSED_UNUSED" hidden="1">"c7239"</definedName>
    <definedName name="IQ_PRIVATE_CONST_TOTAL_UNUSED_UNUSED_UNUSED" hidden="1">"c7019"</definedName>
    <definedName name="IQ_PRIVATE_CONST_TOTAL_YOY_FC_UNUSED_UNUSED_UNUSED" hidden="1">"c8339"</definedName>
    <definedName name="IQ_PRIVATE_CONST_TOTAL_YOY_UNUSED_UNUSED_UNUSED" hidden="1">"c7459"</definedName>
    <definedName name="IQ_PRIVATE_RES_CONST_REAL_APR_FC_UNUSED_UNUSED_UNUSED" hidden="1">"c8535"</definedName>
    <definedName name="IQ_PRIVATE_RES_CONST_REAL_APR_UNUSED_UNUSED_UNUSED" hidden="1">"c7655"</definedName>
    <definedName name="IQ_PRIVATE_RES_CONST_REAL_FC_UNUSED_UNUSED_UNUSED" hidden="1">"c7875"</definedName>
    <definedName name="IQ_PRIVATE_RES_CONST_REAL_POP_FC_UNUSED_UNUSED_UNUSED" hidden="1">"c8095"</definedName>
    <definedName name="IQ_PRIVATE_RES_CONST_REAL_POP_UNUSED_UNUSED_UNUSED" hidden="1">"c7215"</definedName>
    <definedName name="IQ_PRIVATE_RES_CONST_REAL_UNUSED_UNUSED_UNUSED" hidden="1">"c6995"</definedName>
    <definedName name="IQ_PRIVATE_RES_CONST_REAL_YOY_FC_UNUSED_UNUSED_UNUSED" hidden="1">"c8315"</definedName>
    <definedName name="IQ_PRIVATE_RES_CONST_REAL_YOY_UNUSED_UNUSED_UNUSED" hidden="1">"c7435"</definedName>
    <definedName name="IQ_PRIVATELY_ISSUED_MORTGAGE_BACKED_SECURITIES_FDIC" hidden="1">"c6407"</definedName>
    <definedName name="IQ_PRIVATELY_ISSUED_MORTGAGE_PASS_THROUGHS_FDIC" hidden="1">"c6405"</definedName>
    <definedName name="IQ_PURCHASE_FOREIGN_CURRENCIES_FDIC" hidden="1">"c6513"</definedName>
    <definedName name="IQ_PURCHASED_OPTION_CONTRACTS_FDIC" hidden="1">"c6510"</definedName>
    <definedName name="IQ_PURCHASED_OPTION_CONTRACTS_FX_RISK_FDIC" hidden="1">"c6515"</definedName>
    <definedName name="IQ_PURCHASED_OPTION_CONTRACTS_NON_FX_IR_FDIC" hidden="1">"c6520"</definedName>
    <definedName name="IQ_PURCHASES_EQUIP_NONRES_SAAR_APR_FC_UNUSED_UNUSED_UNUSED" hidden="1">"c8491"</definedName>
    <definedName name="IQ_PURCHASES_EQUIP_NONRES_SAAR_APR_UNUSED_UNUSED_UNUSED" hidden="1">"c7611"</definedName>
    <definedName name="IQ_PURCHASES_EQUIP_NONRES_SAAR_FC_UNUSED_UNUSED_UNUSED" hidden="1">"c7831"</definedName>
    <definedName name="IQ_PURCHASES_EQUIP_NONRES_SAAR_POP_FC_UNUSED_UNUSED_UNUSED" hidden="1">"c8051"</definedName>
    <definedName name="IQ_PURCHASES_EQUIP_NONRES_SAAR_POP_UNUSED_UNUSED_UNUSED" hidden="1">"c7171"</definedName>
    <definedName name="IQ_PURCHASES_EQUIP_NONRES_SAAR_UNUSED_UNUSED_UNUSED" hidden="1">"c6951"</definedName>
    <definedName name="IQ_PURCHASES_EQUIP_NONRES_SAAR_YOY_FC_UNUSED_UNUSED_UNUSED" hidden="1">"c8271"</definedName>
    <definedName name="IQ_PURCHASES_EQUIP_NONRES_SAAR_YOY_UNUSED_UNUSED_UNUSED" hidden="1">"c7391"</definedName>
    <definedName name="IQ_QTD" hidden="1">750000</definedName>
    <definedName name="IQ_RE_FORECLOSURE_FDIC" hidden="1">"c6332"</definedName>
    <definedName name="IQ_RE_INVEST_FDIC" hidden="1">"c6331"</definedName>
    <definedName name="IQ_RE_LOANS_DOMESTIC_CHARGE_OFFS_FDIC" hidden="1">"c6589"</definedName>
    <definedName name="IQ_RE_LOANS_DOMESTIC_FDIC" hidden="1">"c6309"</definedName>
    <definedName name="IQ_RE_LOANS_DOMESTIC_NET_CHARGE_OFFS_FDIC" hidden="1">"c6627"</definedName>
    <definedName name="IQ_RE_LOANS_DOMESTIC_RECOVERIES_FDIC" hidden="1">"c6608"</definedName>
    <definedName name="IQ_RE_LOANS_FDIC" hidden="1">"c6308"</definedName>
    <definedName name="IQ_RE_LOANS_FOREIGN_CHARGE_OFFS_FDIC" hidden="1">"c6595"</definedName>
    <definedName name="IQ_RE_LOANS_FOREIGN_NET_CHARGE_OFFS_FDIC" hidden="1">"c6633"</definedName>
    <definedName name="IQ_RE_LOANS_FOREIGN_RECOVERIES_FDIC" hidden="1">"c6614"</definedName>
    <definedName name="IQ_RECOVERIES_1_4_FAMILY_LOANS_FDIC" hidden="1">"c6707"</definedName>
    <definedName name="IQ_RECOVERIES_AUTO_LOANS_FDIC" hidden="1">"c6701"</definedName>
    <definedName name="IQ_RECOVERIES_CL_LOANS_FDIC" hidden="1">"c6702"</definedName>
    <definedName name="IQ_RECOVERIES_CREDIT_CARDS_RECEIVABLES_FDIC" hidden="1">"c6704"</definedName>
    <definedName name="IQ_RECOVERIES_HOME_EQUITY_LINES_FDIC" hidden="1">"c6705"</definedName>
    <definedName name="IQ_RECOVERIES_OTHER_CONSUMER_LOANS_FDIC" hidden="1">"c6703"</definedName>
    <definedName name="IQ_RECOVERIES_OTHER_LOANS_FDIC" hidden="1">"c6706"</definedName>
    <definedName name="IQ_RELATED_PLANS_FDIC" hidden="1">"c6320"</definedName>
    <definedName name="IQ_RES_CONST_REAL_APR_FC_UNUSED_UNUSED_UNUSED" hidden="1">"c8536"</definedName>
    <definedName name="IQ_RES_CONST_REAL_APR_UNUSED_UNUSED_UNUSED" hidden="1">"c7656"</definedName>
    <definedName name="IQ_RES_CONST_REAL_FC_UNUSED_UNUSED_UNUSED" hidden="1">"c7876"</definedName>
    <definedName name="IQ_RES_CONST_REAL_POP_FC_UNUSED_UNUSED_UNUSED" hidden="1">"c8096"</definedName>
    <definedName name="IQ_RES_CONST_REAL_POP_UNUSED_UNUSED_UNUSED" hidden="1">"c7216"</definedName>
    <definedName name="IQ_RES_CONST_REAL_SAAR_APR_FC_UNUSED_UNUSED_UNUSED" hidden="1">"c8537"</definedName>
    <definedName name="IQ_RES_CONST_REAL_SAAR_APR_UNUSED_UNUSED_UNUSED" hidden="1">"c7657"</definedName>
    <definedName name="IQ_RES_CONST_REAL_SAAR_FC_UNUSED_UNUSED_UNUSED" hidden="1">"c7877"</definedName>
    <definedName name="IQ_RES_CONST_REAL_SAAR_POP_FC_UNUSED_UNUSED_UNUSED" hidden="1">"c8097"</definedName>
    <definedName name="IQ_RES_CONST_REAL_SAAR_POP_UNUSED_UNUSED_UNUSED" hidden="1">"c7217"</definedName>
    <definedName name="IQ_RES_CONST_REAL_SAAR_UNUSED_UNUSED_UNUSED" hidden="1">"c6997"</definedName>
    <definedName name="IQ_RES_CONST_REAL_SAAR_YOY_FC_UNUSED_UNUSED_UNUSED" hidden="1">"c8317"</definedName>
    <definedName name="IQ_RES_CONST_REAL_SAAR_YOY_UNUSED_UNUSED_UNUSED" hidden="1">"c7437"</definedName>
    <definedName name="IQ_RES_CONST_REAL_UNUSED_UNUSED_UNUSED" hidden="1">"c6996"</definedName>
    <definedName name="IQ_RES_CONST_REAL_YOY_FC_UNUSED_UNUSED_UNUSED" hidden="1">"c8316"</definedName>
    <definedName name="IQ_RES_CONST_REAL_YOY_UNUSED_UNUSED_UNUSED" hidden="1">"c7436"</definedName>
    <definedName name="IQ_RES_CONST_SAAR_APR_FC_UNUSED_UNUSED_UNUSED" hidden="1">"c8540"</definedName>
    <definedName name="IQ_RES_CONST_SAAR_APR_UNUSED_UNUSED_UNUSED" hidden="1">"c7660"</definedName>
    <definedName name="IQ_RES_CONST_SAAR_FC_UNUSED_UNUSED_UNUSED" hidden="1">"c7880"</definedName>
    <definedName name="IQ_RES_CONST_SAAR_POP_FC_UNUSED_UNUSED_UNUSED" hidden="1">"c8100"</definedName>
    <definedName name="IQ_RES_CONST_SAAR_POP_UNUSED_UNUSED_UNUSED" hidden="1">"c7220"</definedName>
    <definedName name="IQ_RES_CONST_SAAR_UNUSED_UNUSED_UNUSED" hidden="1">"c7000"</definedName>
    <definedName name="IQ_RES_CONST_SAAR_YOY_FC_UNUSED_UNUSED_UNUSED" hidden="1">"c8320"</definedName>
    <definedName name="IQ_RES_CONST_SAAR_YOY_UNUSED_UNUSED_UNUSED" hidden="1">"c7440"</definedName>
    <definedName name="IQ_RESIDENTIAL_LOANS" hidden="1">"c1102"</definedName>
    <definedName name="IQ_RESTATEMENTS_NET_FDIC" hidden="1">"c6500"</definedName>
    <definedName name="IQ_RESTRUCTURE_BR" hidden="1">"c1106"</definedName>
    <definedName name="IQ_RESTRUCTURED_LOANS_1_4_RESIDENTIAL_FDIC" hidden="1">"c6378"</definedName>
    <definedName name="IQ_RESTRUCTURED_LOANS_LEASES_FDIC" hidden="1">"c6377"</definedName>
    <definedName name="IQ_RESTRUCTURED_LOANS_NON_1_4_FDIC" hidden="1">"c6379"</definedName>
    <definedName name="IQ_RETAIL_DEPOSITS_FDIC" hidden="1">"c6488"</definedName>
    <definedName name="IQ_RETAINED_EARNINGS_AVERAGE_EQUITY_FDIC" hidden="1">"c6733"</definedName>
    <definedName name="IQ_RETURN_ASSETS_BROK" hidden="1">"c1115"</definedName>
    <definedName name="IQ_RETURN_ASSETS_FDIC" hidden="1">"c6730"</definedName>
    <definedName name="IQ_RETURN_EQUITY_BROK" hidden="1">"c1120"</definedName>
    <definedName name="IQ_RETURN_EQUITY_FDIC" hidden="1">"c6732"</definedName>
    <definedName name="IQ_REV_STDDEV_EST_REUT" hidden="1">"c3639"</definedName>
    <definedName name="IQ_REVALUATION_GAINS_FDIC" hidden="1">"c6428"</definedName>
    <definedName name="IQ_REVALUATION_LOSSES_FDIC" hidden="1">"c6429"</definedName>
    <definedName name="IQ_REVENUE_EST_REUT" hidden="1">"c3634"</definedName>
    <definedName name="IQ_REVENUE_HIGH_EST_REUT" hidden="1">"c3636"</definedName>
    <definedName name="IQ_REVENUE_LOW_EST_REUT" hidden="1">"c3637"</definedName>
    <definedName name="IQ_REVENUE_MEDIAN_EST_REUT" hidden="1">"c3635"</definedName>
    <definedName name="IQ_REVENUE_NUM_EST_REUT" hidden="1">"c3638"</definedName>
    <definedName name="IQ_REVOLVING_SECURED_1_–4_NON_ACCRUAL_FFIEC" hidden="1">"c15565"</definedName>
    <definedName name="IQ_RISK_WEIGHTED_ASSETS_FDIC" hidden="1">"c6370"</definedName>
    <definedName name="IQ_SALARY_FDIC" hidden="1">"c6576"</definedName>
    <definedName name="IQ_SALE_CONVERSION_RETIREMENT_STOCK_FDIC" hidden="1">"c6661"</definedName>
    <definedName name="IQ_SALE_INTAN_CF_BR" hidden="1">"c1133"</definedName>
    <definedName name="IQ_SALE_PPE_CF_BR" hidden="1">"c1139"</definedName>
    <definedName name="IQ_SALE_REAL_ESTATE_CF_BR" hidden="1">"c1145"</definedName>
    <definedName name="IQ_SECURED_1_4_FAMILY_RESIDENTIAL_CHARGE_OFFS_FDIC" hidden="1">"c6590"</definedName>
    <definedName name="IQ_SECURED_1_4_FAMILY_RESIDENTIAL_NET_CHARGE_OFFS_FDIC" hidden="1">"c6628"</definedName>
    <definedName name="IQ_SECURED_1_4_FAMILY_RESIDENTIAL_RECOVERIES_FDIC" hidden="1">"c6609"</definedName>
    <definedName name="IQ_SECURED_FARMLAND_CHARGE_OFFS_FDIC" hidden="1">"c6593"</definedName>
    <definedName name="IQ_SECURED_FARMLAND_NET_CHARGE_OFFS_FDIC" hidden="1">"c6631"</definedName>
    <definedName name="IQ_SECURED_FARMLAND_RECOVERIES_FDIC" hidden="1">"c6612"</definedName>
    <definedName name="IQ_SECURED_MULTIFAMILY_RESIDENTIAL_CHARGE_OFFS_FDIC" hidden="1">"c6591"</definedName>
    <definedName name="IQ_SECURED_MULTIFAMILY_RESIDENTIAL_NET_CHARGE_OFFS_FDIC" hidden="1">"c6629"</definedName>
    <definedName name="IQ_SECURED_MULTIFAMILY_RESIDENTIAL_RECOVERIES_FDIC" hidden="1">"c6610"</definedName>
    <definedName name="IQ_SECURED_NONFARM_NONRESIDENTIAL_CHARGE_OFFS_FDIC" hidden="1">"c6592"</definedName>
    <definedName name="IQ_SECURED_NONFARM_NONRESIDENTIAL_NET_CHARGE_OFFS_FDIC" hidden="1">"c6630"</definedName>
    <definedName name="IQ_SECURED_NONFARM_NONRESIDENTIAL_RECOVERIES_FDIC" hidden="1">"c6611"</definedName>
    <definedName name="IQ_SECURITIES_GAINS_FDIC" hidden="1">"c6584"</definedName>
    <definedName name="IQ_SECURITIES_ISSUED_STATES_FDIC" hidden="1">"c6300"</definedName>
    <definedName name="IQ_SECURITIES_LENT_FDIC" hidden="1">"c6532"</definedName>
    <definedName name="IQ_SECURITIES_UNDERWRITING_FDIC" hidden="1">"c6529"</definedName>
    <definedName name="IQ_SERVICE_CHARGES_FDIC" hidden="1">"c6572"</definedName>
    <definedName name="IQ_SHAREOUTSTANDING" hidden="1">"c1347"</definedName>
    <definedName name="IQ_SPECIAL_DIV_CF_BR" hidden="1">"c1171"</definedName>
    <definedName name="IQ_ST_DEBT_BR" hidden="1">"c1178"</definedName>
    <definedName name="IQ_ST_DEBT_ISSUED_BR" hidden="1">"c1183"</definedName>
    <definedName name="IQ_ST_DEBT_REPAID_BR" hidden="1">"c1191"</definedName>
    <definedName name="IQ_STATES_NONTRANSACTION_ACCOUNTS_FDIC" hidden="1">"c6547"</definedName>
    <definedName name="IQ_STATES_TOTAL_DEPOSITS_FDIC" hidden="1">"c6473"</definedName>
    <definedName name="IQ_STATES_TRANSACTION_ACCOUNTS_FDIC" hidden="1">"c6539"</definedName>
    <definedName name="IQ_SUB_DEBT_FDIC" hidden="1">"c6346"</definedName>
    <definedName name="IQ_SURPLUS_FDIC" hidden="1">"c6351"</definedName>
    <definedName name="IQ_TARGET_PRICE_NUM_REUT" hidden="1">"c5319"</definedName>
    <definedName name="IQ_TARGET_PRICE_STDDEV_REUT" hidden="1">"c5320"</definedName>
    <definedName name="IQ_TEV_EBITDA_FWD_REUT" hidden="1">"c4050"</definedName>
    <definedName name="IQ_TEV_TOTAL_REV_FWD_REUT" hidden="1">"c4051"</definedName>
    <definedName name="IQ_THREE_MONTHS_FIXED_AND_FLOATING_FDIC" hidden="1">"c6419"</definedName>
    <definedName name="IQ_THREE_MONTHS_MORTGAGE_PASS_THROUGHS_FDIC" hidden="1">"c6411"</definedName>
    <definedName name="IQ_THREE_YEAR_FIXED_AND_FLOATING_RATE_FDIC" hidden="1">"c6421"</definedName>
    <definedName name="IQ_THREE_YEAR_MORTGAGE_PASS_THROUGHS_FDIC" hidden="1">"c6413"</definedName>
    <definedName name="IQ_THREE_YEARS_LESS_FDIC" hidden="1">"c6417"</definedName>
    <definedName name="IQ_TIER_1_RISK_BASED_CAPITAL_RATIO_FDIC" hidden="1">"c6746"</definedName>
    <definedName name="IQ_TIER_ONE_FDIC" hidden="1">"c6369"</definedName>
    <definedName name="IQ_TIME_DEPOSITS_LESS_THAN_100K_FDIC" hidden="1">"c6465"</definedName>
    <definedName name="IQ_TIME_DEPOSITS_MORE_THAN_100K_FDIC" hidden="1">"c6470"</definedName>
    <definedName name="IQ_TODAY" hidden="1">0</definedName>
    <definedName name="IQ_TOTAL_AR_BR" hidden="1">"c1231"</definedName>
    <definedName name="IQ_TOTAL_ASSETS_FDIC" hidden="1">"c6339"</definedName>
    <definedName name="IQ_TOTAL_CHARGE_OFFS_FDIC" hidden="1">"c6603"</definedName>
    <definedName name="IQ_TOTAL_DEBT_ISSUED_BR" hidden="1">"c1253"</definedName>
    <definedName name="IQ_TOTAL_DEBT_REPAID_BR" hidden="1">"c1260"</definedName>
    <definedName name="IQ_TOTAL_DEBT_SECURITIES_FDIC" hidden="1">"c6410"</definedName>
    <definedName name="IQ_TOTAL_DEPOSITS_FDIC" hidden="1">"c6342"</definedName>
    <definedName name="IQ_TOTAL_EMPLOYEES_FDIC" hidden="1">"c6355"</definedName>
    <definedName name="IQ_TOTAL_LIAB_BR" hidden="1">"c1278"</definedName>
    <definedName name="IQ_TOTAL_LIAB_EQUITY_FDIC" hidden="1">"c6354"</definedName>
    <definedName name="IQ_TOTAL_LIABILITIES_FDIC" hidden="1">"c6348"</definedName>
    <definedName name="IQ_TOTAL_OPER_EXP_BR" hidden="1">"c1284"</definedName>
    <definedName name="IQ_TOTAL_PENSION_OBLIGATION" hidden="1">"c1292"</definedName>
    <definedName name="IQ_TOTAL_RECOVERIES_FDIC" hidden="1">"c6622"</definedName>
    <definedName name="IQ_TOTAL_REV_BNK_FDIC" hidden="1">"c6786"</definedName>
    <definedName name="IQ_TOTAL_REV_BR" hidden="1">"c1303"</definedName>
    <definedName name="IQ_TOTAL_RISK_BASED_CAPITAL_RATIO_FDIC" hidden="1">"c6747"</definedName>
    <definedName name="IQ_TOTAL_SECURITIES_FDIC" hidden="1">"c6306"</definedName>
    <definedName name="IQ_TOTAL_TIME_DEPOSITS_FDIC" hidden="1">"c6497"</definedName>
    <definedName name="IQ_TOTAL_TIME_SAVINGS_DEPOSITS_FDIC" hidden="1">"c6498"</definedName>
    <definedName name="IQ_TOTAL_UNUSED_COMMITMENTS_FDIC" hidden="1">"c6536"</definedName>
    <definedName name="IQ_TOTAL_UNUSUAL_BR" hidden="1">"c5517"</definedName>
    <definedName name="IQ_TRADING_ACCOUNT_GAINS_FEES_FDIC" hidden="1">"c6573"</definedName>
    <definedName name="IQ_TRADING_ASSETS_FDIC" hidden="1">"c6328"</definedName>
    <definedName name="IQ_TRADING_LIABILITIES_FDIC" hidden="1">"c6344"</definedName>
    <definedName name="IQ_TRANSACTION_ACCOUNTS_FDIC" hidden="1">"c6544"</definedName>
    <definedName name="IQ_TREASURY_OTHER_EQUITY_BR" hidden="1">"c1314"</definedName>
    <definedName name="IQ_TREASURY_STOCK_TRANSACTIONS_FDIC" hidden="1">"c6501"</definedName>
    <definedName name="IQ_TWELVE_MONTHS_FIXED_AND_FLOATING_FDIC" hidden="1">"c6420"</definedName>
    <definedName name="IQ_TWELVE_MONTHS_MORTGAGE_PASS_THROUGHS_FDIC" hidden="1">"c6412"</definedName>
    <definedName name="IQ_UNDIVIDED_PROFITS_FDIC" hidden="1">"c6352"</definedName>
    <definedName name="IQ_UNEARN_REV_CURRENT_BR" hidden="1">"c1324"</definedName>
    <definedName name="IQ_UNEARNED_INCOME_FDIC" hidden="1">"c6324"</definedName>
    <definedName name="IQ_UNEARNED_INCOME_FOREIGN_FDIC" hidden="1">"c6385"</definedName>
    <definedName name="IQ_UNPROFITABLE_INSTITUTIONS_FDIC" hidden="1">"c6722"</definedName>
    <definedName name="IQ_UNUSED_LOAN_COMMITMENTS_FDIC" hidden="1">"c6368"</definedName>
    <definedName name="IQ_US_BRANCHES_FOREIGN_BANK_LOANS_FDIC" hidden="1">"c6435"</definedName>
    <definedName name="IQ_US_BRANCHES_FOREIGN_BANKS_FDIC" hidden="1">"c6390"</definedName>
    <definedName name="IQ_US_GOV_AGENCIES_FDIC" hidden="1">"c6395"</definedName>
    <definedName name="IQ_US_GOV_DEPOSITS_FDIC" hidden="1">"c6483"</definedName>
    <definedName name="IQ_US_GOV_ENTERPRISES_FDIC" hidden="1">"c6396"</definedName>
    <definedName name="IQ_US_GOV_NONCURRENT_LOANS_TOTAL_NONCURRENT_FDIC" hidden="1">"c6779"</definedName>
    <definedName name="IQ_US_GOV_NONTRANSACTION_ACCOUNTS_FDIC" hidden="1">"c6546"</definedName>
    <definedName name="IQ_US_GOV_OBLIGATIONS_FDIC" hidden="1">"c6299"</definedName>
    <definedName name="IQ_US_GOV_SECURITIES_FDIC" hidden="1">"c6297"</definedName>
    <definedName name="IQ_US_GOV_TOTAL_DEPOSITS_FDIC" hidden="1">"c6472"</definedName>
    <definedName name="IQ_US_GOV_TRANSACTION_ACCOUNTS_FDIC" hidden="1">"c6538"</definedName>
    <definedName name="IQ_US_TREASURY_SECURITIES_FDIC" hidden="1">"c6298"</definedName>
    <definedName name="IQ_VALUATION_ALLOWANCES_FDIC" hidden="1">"c6400"</definedName>
    <definedName name="IQ_VC_REVENUE_FDIC" hidden="1">"c6667"</definedName>
    <definedName name="IQ_VOLATILE_LIABILITIES_FDIC" hidden="1">"c6364"</definedName>
    <definedName name="IQ_WEEK">50000</definedName>
    <definedName name="IQ_WRITTEN_OPTION_CONTRACTS_FDIC" hidden="1">"c6509"</definedName>
    <definedName name="IQ_WRITTEN_OPTION_CONTRACTS_FX_RISK_FDIC" hidden="1">"c6514"</definedName>
    <definedName name="IQ_WRITTEN_OPTION_CONTRACTS_NON_FX_IR_FDIC" hidden="1">"c6519"</definedName>
    <definedName name="IQ_YTD">3000</definedName>
    <definedName name="IQ_YTDMONTH" hidden="1">130000</definedName>
    <definedName name="jv" hidden="1">{#N/A,#N/A,FALSE,"CANADA - P&amp;L QTR";#N/A,#N/A,FALSE,"DFSCAN - P&amp;L QTR";#N/A,#N/A,FALSE,"OPC - P&amp;L QTR";#N/A,#N/A,FALSE,"CANOTH - P&amp;L QTR";#N/A,#N/A,FALSE,"TECHCAN - P&amp;L QTR";#N/A,#N/A,FALSE,"FINLINX - P&amp;L QTR";#N/A,#N/A,FALSE,"IFWORKOUT - P&amp;L QTR";#N/A,#N/A,FALSE,"AGILENTCA - P&amp;L QTR";#N/A,#N/A,FALSE,"RFG0011000 - P&amp;L QTR"}</definedName>
    <definedName name="LLL" hidden="1">{"Total Admin",#N/A,FALSE,"Admin";"Executive",#N/A,FALSE,"Admin";"Finance",#N/A,FALSE,"Admin";"Marketing",#N/A,FALSE,"Admin";"NonDepartmental",#N/A,FALSE,"Admin"}</definedName>
    <definedName name="M" hidden="1">{"Total West",#N/A,FALSE,"West";"Austin",#N/A,FALSE,"West";"Dallas",#N/A,FALSE,"West";"Houston",#N/A,FALSE,"West";"Las Vegas",#N/A,FALSE,"West";"Pasadena",#N/A,FALSE,"West";"Phoenix",#N/A,FALSE,"West";"Pleasanton Admin",#N/A,FALSE,"West";"Pleasanton Sales",#N/A,FALSE,"West";"Portland",#N/A,FALSE,"West";"Salt Lake City",#N/A,FALSE,"West";"San Diego",#N/A,FALSE,"West";"Seattle",#N/A,FALSE,"West"}</definedName>
    <definedName name="MLNK0017761dc7b84ce49f6735607f067741" hidden="1">#REF!</definedName>
    <definedName name="MLNK008067c1bd0141c1a0d8e8c72aa95d85" comment="Dividend" hidden="1">#REF!</definedName>
    <definedName name="MLNK00e16290804543fdb368e6387c7aa92c" hidden="1">#REF!</definedName>
    <definedName name="MLNK08467adcfc684cca8a82950ebb4d438c" hidden="1">#REF!</definedName>
    <definedName name="MLNK096c723391cb47aa8fdd909a177a7c24" hidden="1">#REF!</definedName>
    <definedName name="MLNK18fe92e4b7924d64b11b0d36fc051fd9" comment="Trading Data - Canada" hidden="1">#REF!</definedName>
    <definedName name="MLNK191a8e8a2b254332a365337ea9e835fc" hidden="1">#REF!</definedName>
    <definedName name="MLNK1f79e4e60dea46088860e093d951e80c" hidden="1">#REF!</definedName>
    <definedName name="MLNK21233e5452834ee9bf1cff7e8b9110d1" hidden="1">#REF!</definedName>
    <definedName name="MLNK235705051fd54a94a12b6f4daf0a48a6" hidden="1">#REF!</definedName>
    <definedName name="MLNK25a44cdb9be44dc681b2e93c3a32b609" comment="Comps" hidden="1">#REF!</definedName>
    <definedName name="MLNK27a8b1bd6ca643d4b08720b6ac3e38c1" hidden="1">#REF!</definedName>
    <definedName name="MLNK368f552a066b4ea1b142018607201f8b" hidden="1">#REF!</definedName>
    <definedName name="MLNK3815fcbfebcb490baf9b86174576ce95" hidden="1">#REF!</definedName>
    <definedName name="MLNK4e27fff2c6d54cd89f951ee86ce4eaad" hidden="1">#REF!</definedName>
    <definedName name="MLNK4fd2e3ceac464726b63c904de1f9a796" hidden="1">#REF!</definedName>
    <definedName name="MLNK56b240f41d2942fcb9b403b5a476a7d8" hidden="1">#REF!</definedName>
    <definedName name="MLNK5ba01ab6b2dd4c4f94bf60093b153ee4" hidden="1">#REF!</definedName>
    <definedName name="MLNK5e5ab4f18b104bcaa26dfc9b8edd8d3d" hidden="1">Comps!$D$6:$AL$25</definedName>
    <definedName name="MLNK5ec79545d49d493f93a2420475c22a3f" hidden="1">#REF!</definedName>
    <definedName name="MLNK5f342b94d77944659b1ef5a7dbaef93a" hidden="1">#REF!</definedName>
    <definedName name="MLNK601c1ef95cb34d09b82b1a6ff7d9605a" hidden="1">#REF!</definedName>
    <definedName name="MLNK692e97b0272147b189470355d0f6165a" hidden="1">#REF!</definedName>
    <definedName name="MLNK6d5fcc4c2c534538b719d06819b967a8" hidden="1">#REF!</definedName>
    <definedName name="MLNK78682168b0c24d918fa19ab282660391" comment="Trading Data - TSX" hidden="1">#REF!</definedName>
    <definedName name="MLNK8ad5f35a4bfd46728c3273a4d5c7a905" hidden="1">#REF!</definedName>
    <definedName name="MLNK90417d75114a48c0a1779bb363a329cd" hidden="1">#REF!</definedName>
    <definedName name="MLNK90bd4aad386a4451b6d8702c11dda57c" hidden="1">#REF!</definedName>
    <definedName name="MLNK94d282c0cd3c43fb89fa5c845ea3d8b5" hidden="1">Comps!$D$6:$AL$28</definedName>
    <definedName name="MLNK96eba42b27654b0c96a777c2b1f2c026" hidden="1">#REF!</definedName>
    <definedName name="MLNK9c76f014126946d781f4ec0cf20e8cb4" hidden="1">#REF!</definedName>
    <definedName name="MLNK9ff9d28edd3148e7a8cba265311858fd" hidden="1">#REF!</definedName>
    <definedName name="MLNKa768bbe075e743f795a235173edaddd6" hidden="1">#REF!</definedName>
    <definedName name="MLNKa79299cebbbd4162ae3edb9216b5b356" hidden="1">#REF!</definedName>
    <definedName name="MLNKa999b39ef18b4931b94a318bba8e9bb8" hidden="1">#REF!</definedName>
    <definedName name="MLNKad7b52d9d1da42909516fb3eb60fcf9d" hidden="1">#REF!</definedName>
    <definedName name="MLNKb60a37edcb7e473a9ce34b9a5f47c82b" comment="Share Price" hidden="1">#REF!</definedName>
    <definedName name="MLNKb62cabc7bcec4cdbb3cfc3022396f79f" hidden="1">#REF!</definedName>
    <definedName name="MLNKbe0e2be4027b438ea02d75a505d588e9" hidden="1">#REF!</definedName>
    <definedName name="MLNKc1b93f4a9efa4906bae16c7cccff8d68" hidden="1">#REF!</definedName>
    <definedName name="MLNKc4cd6e0521df420d8dda32549959b881" hidden="1">#REF!</definedName>
    <definedName name="MLNKc7b49e5061db431a836a0cd4d2d30033" comment="Sheet1" hidden="1">#REF!</definedName>
    <definedName name="MLNKc930f2d6b0444c13bf5a495d7326f8e2" hidden="1">#REF!</definedName>
    <definedName name="MLNKced5d0e945a94784b165f0ebc610f111" hidden="1">#REF!</definedName>
    <definedName name="MLNKcee05d54c76044aabaf96e0a7c65c242" comment="Dividend" hidden="1">#REF!</definedName>
    <definedName name="MLNKd241237c88af4508bf3aca2c012af96c" hidden="1">#REF!</definedName>
    <definedName name="MLNKd24dae871040473a813590e9d4f4b491" hidden="1">#REF!</definedName>
    <definedName name="MLNKd275bd902a604f4fb880f53225a2667c" hidden="1">#REF!</definedName>
    <definedName name="MLNKd34b264671104085851f11311f202427" hidden="1">#REF!</definedName>
    <definedName name="MLNKd41edab3364143e09203b074ecf88c48" hidden="1">#REF!</definedName>
    <definedName name="MLNKd4454fa2c78c4246a8fb364d7ef30780" hidden="1">#REF!</definedName>
    <definedName name="MLNKd4f01939bcd24967bbcfbf3ca620aca0" comment="Historical Valuation" hidden="1">#REF!</definedName>
    <definedName name="MLNKd7df039e86cf4a18a8273f85e3d29d8b" comment="Yield" hidden="1">#REF!</definedName>
    <definedName name="MLNKda092e9dc81346ecb06f5cf05e7dba90" hidden="1">#REF!</definedName>
    <definedName name="MLNKda4026ac65084d30a1333076fbef014f" hidden="1">#REF!</definedName>
    <definedName name="MLNKdaff7656396a4e4096ecadc81a37f75b" hidden="1">#REF!</definedName>
    <definedName name="MLNKdba6335f5433442abbb3ca61d88516ed" hidden="1">#REF!</definedName>
    <definedName name="MLNKde5ef28fdf41452692b55d8a5e8f1a4c" hidden="1">#REF!</definedName>
    <definedName name="MLNKdf1e1d7dacd046249874f1d338d1c555" hidden="1">#REF!</definedName>
    <definedName name="MLNKe3010ac5b5bc4749b2bee97f5135e368" hidden="1">#REF!</definedName>
    <definedName name="MLNKe327292fed1643fc867ea79956241d28" hidden="1">#REF!</definedName>
    <definedName name="MLNKe54e41f04e9443a99a4e15130449ac17" hidden="1">#REF!</definedName>
    <definedName name="MLNKe76ccb5d0e0440fc9c0b513f2a72d8a0" hidden="1">Comps!$1:$1048576</definedName>
    <definedName name="MLNKf201d55c037d406db81a1f1188ec6a4c" hidden="1">#REF!</definedName>
    <definedName name="MLNKf4749ab5a14f4bc885c12c1aa49bfeb4" hidden="1">#REF!</definedName>
    <definedName name="MLNKf7640b0d849d4118ab005ca0374148c8" hidden="1">#REF!</definedName>
    <definedName name="MLNKfa116274ec374fc08b25aa36a389ea8f" hidden="1">#REF!</definedName>
    <definedName name="MLNKfc58c3645d7f42c59a9727ba333408b9" hidden="1">#REF!</definedName>
    <definedName name="MMM" hidden="1">{"TOTAL",#N/A,FALSE,"Total";"Total East",#N/A,FALSE,"East";"Atlanta",#N/A,FALSE,"East";"Baltimore",#N/A,FALSE,"East";"Charlotte",#N/A,FALSE,"East";"Maitland",#N/A,FALSE,"East";"Marlton Admin",#N/A,FALSE,"East";"Marlton Sales",#N/A,FALSE,"East";"Pittsburgh",#N/A,FALSE,"East";"Plymouth Meeting",#N/A,FALSE,"East";"Raleigh",#N/A,FALSE,"East";"Richmond",#N/A,FALSE,"East";"Tampa",#N/A,FALSE,"East";"White Plains",#N/A,FALSE,"East";"Total Central",#N/A,FALSE,"Central";"Cincinnati",#N/A,FALSE,"Central";"Cleveland",#N/A,FALSE,"Central";"Columbus",#N/A,FALSE,"Central";"Denver",#N/A,FALSE,"Central";"Indianapolis",#N/A,FALSE,"Central";"Lombard Admin",#N/A,FALSE,"Central";"Lombard Sales",#N/A,FALSE,"Central";"Louisville",#N/A,FALSE,"Central";"Nashville",#N/A,FALSE,"Central";"Novi",#N/A,FALSE,"Central";"Oklahoma City",#N/A,FALSE,"Central";"St Louis",#N/A,FALSE,"Central";"Total West",#N/A,FALSE,"West";"Austin",#N/A,FALSE,"West";"Dallas",#N/A,FALSE,"West";"Houston",#N/A,FALSE,"West";"Las Vegas",#N/A,FALSE,"West";"Pasadena",#N/A,FALSE,"West";"Phoenix",#N/A,FALSE,"West";"Pleasanton Admin",#N/A,FALSE,"West";"Pleasanton Sales",#N/A,FALSE,"West";"Portland",#N/A,FALSE,"West";"Salt Lake City",#N/A,FALSE,"West";"San Diego",#N/A,FALSE,"West";"Seattle",#N/A,FALSE,"West";"NHEC",#N/A,FALSE,"NHEC";"Total Wholesale",#N/A,FALSE,"Wholesale";"Whsle_Admin",#N/A,FALSE,"Wholesale";"Whsle_Lombard",#N/A,FALSE,"Wholesale";"Whsle_Marlton",#N/A,FALSE,"Wholesale";"Whsle_Pleasanton",#N/A,FALSE,"Wholesale";"Total Admin",#N/A,FALSE,"Admin";"Executive",#N/A,FALSE,"Admin";"Finance",#N/A,FALSE,"Admin";"Marketing",#N/A,FALSE,"Admin";"NonDepartmental",#N/A,FALSE,"Admin";"Total Credit",#N/A,FALSE,"Credit";"Appraisal",#N/A,FALSE,"Credit";"Customer Service",#N/A,FALSE,"Credit";"Home Office",#N/A,FALSE,"Credit";"Quality Control",#N/A,FALSE,"Credit";"Risk Mgmt",#N/A,FALSE,"Credit"}</definedName>
    <definedName name="new" hidden="1">{#N/A,#N/A,FALSE,"WCI - Bud - Fin. Sum. ";"Summary",#N/A,FALSE,"Summary (g)";"GM with comments",#N/A,FALSE,"GM by Client";"Program Notes",#N/A,FALSE,"Summary (g)";"Risk",#N/A,FALSE,"Summary (g)";#N/A,#N/A,FALSE,"COS by Client by CC";"GM by month",#N/A,FALSE,"GM by Client";#N/A,#N/A,FALSE,"Salaries";#N/A,#N/A,FALSE,"HO Sch 1";"Growth PL sum",#N/A,FALSE,"WCI - Bud - P&amp;L with Growth";#N/A,#N/A,FALSE,"3 CCs"}</definedName>
    <definedName name="NNN" hidden="1">{"Total Central",#N/A,FALSE,"Central";"Cincinnati",#N/A,FALSE,"Central";"Cleveland",#N/A,FALSE,"Central";"Columbus",#N/A,FALSE,"Central";"Denver",#N/A,FALSE,"Central";"Indianapolis",#N/A,FALSE,"Central";"Lombard Admin",#N/A,FALSE,"Central";"Lombard Sales",#N/A,FALSE,"Central";"Louisville",#N/A,FALSE,"Central";"Nashville",#N/A,FALSE,"Central";"Novi",#N/A,FALSE,"Central";"Oklahoma City",#N/A,FALSE,"Central";"St Louis",#N/A,FALSE,"Central"}</definedName>
    <definedName name="noname" hidden="1">{#N/A,#N/A,FALSE,"Euromat"}</definedName>
    <definedName name="OOO" hidden="1">{"Total Credit",#N/A,FALSE,"Credit";"Appraisal",#N/A,FALSE,"Credit";"Customer Service",#N/A,FALSE,"Credit";"Home Office",#N/A,FALSE,"Credit";"Quality Control",#N/A,FALSE,"Credit";"Risk Mgmt",#N/A,FALSE,"Credit"}</definedName>
    <definedName name="PPP" hidden="1">{"Total East",#N/A,FALSE,"East";"Atlanta",#N/A,FALSE,"East";"Baltimore",#N/A,FALSE,"East";"Charlotte",#N/A,FALSE,"East";"Maitland",#N/A,FALSE,"East";"Marlton Admin",#N/A,FALSE,"East";"Marlton Sales",#N/A,FALSE,"East";"Pittsburgh",#N/A,FALSE,"East";"Plymouth Meeting",#N/A,FALSE,"East";"Raleigh",#N/A,FALSE,"East";"Richmond",#N/A,FALSE,"East";"Tampa",#N/A,FALSE,"East";"White Plains",#N/A,FALSE,"East"}</definedName>
    <definedName name="_xlnm.Print_Area" localSheetId="1">Comps!$A$1:$CG$28</definedName>
    <definedName name="Q" hidden="1">{"Total East",#N/A,FALSE,"East";"Atlanta",#N/A,FALSE,"East";"Baltimore",#N/A,FALSE,"East";"Charlotte",#N/A,FALSE,"East";"Maitland",#N/A,FALSE,"East";"Marlton Admin",#N/A,FALSE,"East";"Marlton Sales",#N/A,FALSE,"East";"Pittsburgh",#N/A,FALSE,"East";"Plymouth Meeting",#N/A,FALSE,"East";"Raleigh",#N/A,FALSE,"East";"Richmond",#N/A,FALSE,"East";"Tampa",#N/A,FALSE,"East";"White Plains",#N/A,FALSE,"East"}</definedName>
    <definedName name="QQQ" hidden="1">{"NHEC",#N/A,FALSE,"NHEC"}</definedName>
    <definedName name="RO" hidden="1">{#N/A,#N/A,FALSE,"WCI - Bud - Fin. Sum. ";"Summary",#N/A,FALSE,"Summary (g)";"GM with comments",#N/A,FALSE,"GM by Client";"Program Notes",#N/A,FALSE,"Summary (g)";"Risk",#N/A,FALSE,"Summary (g)";#N/A,#N/A,FALSE,"COS by Client by CC";"GM by month",#N/A,FALSE,"GM by Client";#N/A,#N/A,FALSE,"Salaries";#N/A,#N/A,FALSE,"HO Sch 1";"Growth PL sum",#N/A,FALSE,"WCI - Bud - P&amp;L with Growth";#N/A,#N/A,FALSE,"3 CCs"}</definedName>
    <definedName name="RRR" hidden="1">{"TOTAL",#N/A,FALSE,"Total";"Total East",#N/A,FALSE,"East";"Total Central",#N/A,FALSE,"Central";"Total West",#N/A,FALSE,"West";"NHEC",#N/A,FALSE,"NHEC";"Total Wholesale",#N/A,FALSE,"Wholesale";"Total Credit",#N/A,FALSE,"Credit";"Total Admin",#N/A,FALSE,"Admin"}</definedName>
    <definedName name="SAPBEXdnldView" hidden="1">"3AZ7TPCT6F7CLWHBG4RBGUQ78"</definedName>
    <definedName name="SAPBEXsysID" hidden="1">"PW1"</definedName>
    <definedName name="SAPFuncF4Help" hidden="1">Main.SAPF4Help()</definedName>
    <definedName name="shit" hidden="1">{#N/A,#N/A,FALSE,"WCI - Bud - Fin. Sum. ";"Summary",#N/A,FALSE,"Summary (g)";"GM with comments",#N/A,FALSE,"GM by Client";"Program Notes",#N/A,FALSE,"Summary (g)";"Risk",#N/A,FALSE,"Summary (g)";#N/A,#N/A,FALSE,"COS by Client by CC";"GM by month",#N/A,FALSE,"GM by Client";#N/A,#N/A,FALSE,"Salaries";#N/A,#N/A,FALSE,"HO Sch 1";"Growth PL sum",#N/A,FALSE,"WCI - Bud - P&amp;L with Growth";#N/A,#N/A,FALSE,"3 CCs"}</definedName>
    <definedName name="SL" hidden="1">{#N/A,#N/A,FALSE,"WCI - Bud - Fin. Sum. ";"Summary",#N/A,FALSE,"Summary (g)";"GM with comments",#N/A,FALSE,"GM by Client";"Program Notes",#N/A,FALSE,"Summary (g)";"Risk",#N/A,FALSE,"Summary (g)";#N/A,#N/A,FALSE,"COS by Client by CC";"GM by month",#N/A,FALSE,"GM by Client";#N/A,#N/A,FALSE,"Salaries";#N/A,#N/A,FALSE,"HO Sch 1";"Growth PL sum",#N/A,FALSE,"WCI - Bud - P&amp;L with Growth";#N/A,#N/A,FALSE,"3 CCs"}</definedName>
    <definedName name="solver_cvg" hidden="1">0.001</definedName>
    <definedName name="solver_drv" hidden="1">1</definedName>
    <definedName name="solver_est" hidden="1">1</definedName>
    <definedName name="solver_itr" hidden="1">100</definedName>
    <definedName name="solver_lin" hidden="1">2</definedName>
    <definedName name="solver_neg" hidden="1">2</definedName>
    <definedName name="solver_num" hidden="1">0</definedName>
    <definedName name="solver_nwt" hidden="1">1</definedName>
    <definedName name="solver_pre" hidden="1">0.000001</definedName>
    <definedName name="solver_scl" hidden="1">2</definedName>
    <definedName name="solver_sho" hidden="1">2</definedName>
    <definedName name="solver_tim" hidden="1">100</definedName>
    <definedName name="solver_tol" hidden="1">0.05</definedName>
    <definedName name="solver_typ" hidden="1">1</definedName>
    <definedName name="solver_val" hidden="1">0</definedName>
    <definedName name="SSS" hidden="1">{"Total West",#N/A,FALSE,"West";"Austin",#N/A,FALSE,"West";"Dallas",#N/A,FALSE,"West";"Houston",#N/A,FALSE,"West";"Las Vegas",#N/A,FALSE,"West";"Pasadena",#N/A,FALSE,"West";"Phoenix",#N/A,FALSE,"West";"Pleasanton Admin",#N/A,FALSE,"West";"Pleasanton Sales",#N/A,FALSE,"West";"Portland",#N/A,FALSE,"West";"Salt Lake City",#N/A,FALSE,"West";"San Diego",#N/A,FALSE,"West";"Seattle",#N/A,FALSE,"West"}</definedName>
    <definedName name="taft" hidden="1">{#N/A,#N/A,FALSE,"Op Exp By Cost Ctr";#N/A,#N/A,FALSE,"ASSUMPTIONS";#N/A,#N/A,FALSE,"P&amp;L";#N/A,#N/A,FALSE,"Graph";#N/A,#N/A,FALSE,"Op Exp Chart";#N/A,#N/A,FALSE,"Op Exp By Cost Ctr";#N/A,#N/A,FALSE,"FTE Graph"}</definedName>
    <definedName name="TD_BRI" hidden="1">{#N/A,#N/A,FALSE,"WCI - Bud - Fin. Sum. ";"Summary",#N/A,FALSE,"Summary (g)";"GM with comments",#N/A,FALSE,"GM by Client";"Program Notes",#N/A,FALSE,"Summary (g)";"Risk",#N/A,FALSE,"Summary (g)";#N/A,#N/A,FALSE,"COS by Client by CC";"GM by month",#N/A,FALSE,"GM by Client";#N/A,#N/A,FALSE,"Salaries";#N/A,#N/A,FALSE,"HO Sch 1";"Growth PL sum",#N/A,FALSE,"WCI - Bud - P&amp;L with Growth";#N/A,#N/A,FALSE,"3 CCs"}</definedName>
    <definedName name="test" hidden="1">{"Total Central",#N/A,FALSE,"Central";"Cincinnati",#N/A,FALSE,"Central";"Cleveland",#N/A,FALSE,"Central";"Columbus",#N/A,FALSE,"Central";"Denver",#N/A,FALSE,"Central";"Indianapolis",#N/A,FALSE,"Central";"Lombard Admin",#N/A,FALSE,"Central";"Lombard Sales",#N/A,FALSE,"Central";"Louisville",#N/A,FALSE,"Central";"Nashville",#N/A,FALSE,"Central";"Novi",#N/A,FALSE,"Central";"Oklahoma City",#N/A,FALSE,"Central";"St Louis",#N/A,FALSE,"Central"}</definedName>
    <definedName name="test0" hidden="1">{"BalSht_byMonthPlan",#N/A,FALSE,"Legal Entity Bal Sht";"BalSht_byMonthPlan",#N/A,FALSE,"Lyon_Corp Bal Sht";"BalSht_byMonthPlan",#N/A,FALSE,"Fabrics Bal Sht";"BalSht_byMonthPlan",#N/A,FALSE,"Prepreg Bal Sht";"AR_byMonthPlan",#N/A,FALSE,"Legal Entity AR";"AR_byMonthPlan",#N/A,FALSE,"Fabrics AR";"AR_byMonthPlan",#N/A,FALSE,"Prepreg AR";"PPE_byMonthPlan",#N/A,FALSE,"Legal Entity PP&amp;E";"PPE_byMonthPlan",#N/A,FALSE,"Fabrics PP&amp;E";"PPE_byMonthPlan",#N/A,FALSE,"Prepreg PP&amp;E";"INV_byMonthPlan",#N/A,FALSE,"Legal Entity Inventory";"INV_byMonthPlan",#N/A,FALSE,"Fabrics Inventory";"INV_byMonthPlan",#N/A,FALSE,"Prepreg Inventory";"WC_byMonthPlan",#N/A,FALSE,"Legal Entity WC Reserves";"WC_byMonthPlan",#N/A,FALSE,"Fabrics WC Reserves";"WC_byMonthPlan",#N/A,FALSE,"Prepreg WC Reserves";"RESTR_byMonthPlan",#N/A,FALSE,"Restr. Detail";"DEBT_byMonthPlan",#N/A,FALSE,"Debt";"CF_byMonthPlan",#N/A,FALSE,"Legal Entity Cashflow";"CF_byMonthPlan",#N/A,FALSE,"Lyon_Corp Cashflow";"CF_byMonthPlan",#N/A,FALSE,"Fabrics Cashflow";"CF_byMonthPlan",#N/A,FALSE,"Prepreg Cashflow";"IS_byMonthPlan",#N/A,FALSE,"Legal Entity Inc Stmt";"IS_byMonthPlan",#N/A,FALSE,"Lyon_Corp Inc Stmt";"IS_byMonthPlan",#N/A,FALSE,"Fabrics Total Inc Stmt";"IS_byMonthPlan",#N/A,FALSE,"Architectural";"IS_byMonthPlan",#N/A,FALSE,"Reinforcement for Composites";"IS_byMonthPlan",#N/A,FALSE,"Electrical";"IS_byMonthPlan",#N/A,FALSE,"Ballistics";"IS_byMonthPlan",#N/A,FALSE,"Protection";"IS_byMonthPlan",#N/A,FALSE,"General Industrial";"IS_byMonthPlan",#N/A,FALSE,"Total Prepreg Inc Stmt";"hdcount_plan",#N/A,FALSE,"Headcount"}</definedName>
    <definedName name="test123" hidden="1">{#N/A,#N/A,FALSE,"Euromat"}</definedName>
    <definedName name="test2" hidden="1">{"BalSht_byMonthPlan",#N/A,FALSE,"Legal Entity Bal Sht";"BalSht_byMonthPlan",#N/A,FALSE,"Lyon_Corp Bal Sht";"BalSht_byMonthPlan",#N/A,FALSE,"Fabrics Bal Sht";"BalSht_byMonthPlan",#N/A,FALSE,"Prepreg Bal Sht";"AR_byMonthPlan",#N/A,FALSE,"Legal Entity AR";"AR_byMonthPlan",#N/A,FALSE,"Fabrics AR";"AR_byMonthPlan",#N/A,FALSE,"Prepreg AR";"PPE_byMonthPlan",#N/A,FALSE,"Legal Entity PP&amp;E";"PPE_byMonthPlan",#N/A,FALSE,"Fabrics PP&amp;E";"PPE_byMonthPlan",#N/A,FALSE,"Prepreg PP&amp;E";"INV_byMonthPlan",#N/A,FALSE,"Legal Entity Inventory";"INV_byMonthPlan",#N/A,FALSE,"Fabrics Inventory";"INV_byMonthPlan",#N/A,FALSE,"Prepreg Inventory";"WC_byMonthPlan",#N/A,FALSE,"Legal Entity WC Reserves";"WC_byMonthPlan",#N/A,FALSE,"Fabrics WC Reserves";"WC_byMonthPlan",#N/A,FALSE,"Prepreg WC Reserves";"RESTR_byMonthPlan",#N/A,FALSE,"Restr. Detail";"DEBT_byMonthPlan",#N/A,FALSE,"Debt";"CF_byMonthPlan",#N/A,FALSE,"Legal Entity Cashflow";"CF_byMonthPlan",#N/A,FALSE,"Lyon_Corp Cashflow";"CF_byMonthPlan",#N/A,FALSE,"Fabrics Cashflow";"CF_byMonthPlan",#N/A,FALSE,"Prepreg Cashflow";"IS_byMonthPlan",#N/A,FALSE,"Legal Entity Inc Stmt";"IS_byMonthPlan",#N/A,FALSE,"Lyon_Corp Inc Stmt";"IS_byMonthPlan",#N/A,FALSE,"Fabrics Total Inc Stmt";"IS_byMonthPlan",#N/A,FALSE,"Architectural";"IS_byMonthPlan",#N/A,FALSE,"Reinforcement for Composites";"IS_byMonthPlan",#N/A,FALSE,"Electrical";"IS_byMonthPlan",#N/A,FALSE,"Ballistics";"IS_byMonthPlan",#N/A,FALSE,"Protection";"IS_byMonthPlan",#N/A,FALSE,"General Industrial";"IS_byMonthPlan",#N/A,FALSE,"Total Prepreg Inc Stmt";"hdcount_plan",#N/A,FALSE,"Headcount"}</definedName>
    <definedName name="test2a" hidden="1">{"BalSht_byMonthPlan",#N/A,FALSE,"Legal Entity Bal Sht";"BalSht_byMonthPlan",#N/A,FALSE,"Lyon_Corp Bal Sht";"BalSht_byMonthPlan",#N/A,FALSE,"Fabrics Bal Sht";"BalSht_byMonthPlan",#N/A,FALSE,"Prepreg Bal Sht";"AR_byMonthPlan",#N/A,FALSE,"Legal Entity AR";"AR_byMonthPlan",#N/A,FALSE,"Fabrics AR";"AR_byMonthPlan",#N/A,FALSE,"Prepreg AR";"PPE_byMonthPlan",#N/A,FALSE,"Legal Entity PP&amp;E";"PPE_byMonthPlan",#N/A,FALSE,"Fabrics PP&amp;E";"PPE_byMonthPlan",#N/A,FALSE,"Prepreg PP&amp;E";"INV_byMonthPlan",#N/A,FALSE,"Legal Entity Inventory";"INV_byMonthPlan",#N/A,FALSE,"Fabrics Inventory";"INV_byMonthPlan",#N/A,FALSE,"Prepreg Inventory";"WC_byMonthPlan",#N/A,FALSE,"Legal Entity WC Reserves";"WC_byMonthPlan",#N/A,FALSE,"Fabrics WC Reserves";"WC_byMonthPlan",#N/A,FALSE,"Prepreg WC Reserves";"RESTR_byMonthPlan",#N/A,FALSE,"Restr. Detail";"DEBT_byMonthPlan",#N/A,FALSE,"Debt";"CF_byMonthPlan",#N/A,FALSE,"Legal Entity Cashflow";"CF_byMonthPlan",#N/A,FALSE,"Lyon_Corp Cashflow";"CF_byMonthPlan",#N/A,FALSE,"Fabrics Cashflow";"CF_byMonthPlan",#N/A,FALSE,"Prepreg Cashflow";"IS_byMonthPlan",#N/A,FALSE,"Legal Entity Inc Stmt";"IS_byMonthPlan",#N/A,FALSE,"Lyon_Corp Inc Stmt";"IS_byMonthPlan",#N/A,FALSE,"Fabrics Total Inc Stmt";"IS_byMonthPlan",#N/A,FALSE,"Architectural";"IS_byMonthPlan",#N/A,FALSE,"Reinforcement for Composites";"IS_byMonthPlan",#N/A,FALSE,"Electrical";"IS_byMonthPlan",#N/A,FALSE,"Ballistics";"IS_byMonthPlan",#N/A,FALSE,"Protection";"IS_byMonthPlan",#N/A,FALSE,"General Industrial";"IS_byMonthPlan",#N/A,FALSE,"Total Prepreg Inc Stmt";"hdcount_plan",#N/A,FALSE,"Headcount"}</definedName>
    <definedName name="test2b" hidden="1">{"BalSht_byMonthPlan",#N/A,FALSE,"Legal Entity Bal Sht";"BalSht_byMonthPlan",#N/A,FALSE,"Lyon_Corp Bal Sht";"BalSht_byMonthPlan",#N/A,FALSE,"Fabrics Bal Sht";"BalSht_byMonthPlan",#N/A,FALSE,"Prepreg Bal Sht";"AR_byMonthPlan",#N/A,FALSE,"Legal Entity AR";"AR_byMonthPlan",#N/A,FALSE,"Fabrics AR";"AR_byMonthPlan",#N/A,FALSE,"Prepreg AR";"PPE_byMonthPlan",#N/A,FALSE,"Legal Entity PP&amp;E";"PPE_byMonthPlan",#N/A,FALSE,"Fabrics PP&amp;E";"PPE_byMonthPlan",#N/A,FALSE,"Prepreg PP&amp;E";"INV_byMonthPlan",#N/A,FALSE,"Legal Entity Inventory";"INV_byMonthPlan",#N/A,FALSE,"Fabrics Inventory";"INV_byMonthPlan",#N/A,FALSE,"Prepreg Inventory";"WC_byMonthPlan",#N/A,FALSE,"Legal Entity WC Reserves";"WC_byMonthPlan",#N/A,FALSE,"Fabrics WC Reserves";"WC_byMonthPlan",#N/A,FALSE,"Prepreg WC Reserves";"RESTR_byMonthPlan",#N/A,FALSE,"Restr. Detail";"DEBT_byMonthPlan",#N/A,FALSE,"Debt";"CF_byMonthPlan",#N/A,FALSE,"Legal Entity Cashflow";"CF_byMonthPlan",#N/A,FALSE,"Lyon_Corp Cashflow";"CF_byMonthPlan",#N/A,FALSE,"Fabrics Cashflow";"CF_byMonthPlan",#N/A,FALSE,"Prepreg Cashflow";"IS_byMonthPlan",#N/A,FALSE,"Legal Entity Inc Stmt";"IS_byMonthPlan",#N/A,FALSE,"Lyon_Corp Inc Stmt";"IS_byMonthPlan",#N/A,FALSE,"Fabrics Total Inc Stmt";"IS_byMonthPlan",#N/A,FALSE,"Architectural";"IS_byMonthPlan",#N/A,FALSE,"Reinforcement for Composites";"IS_byMonthPlan",#N/A,FALSE,"Electrical";"IS_byMonthPlan",#N/A,FALSE,"Ballistics";"IS_byMonthPlan",#N/A,FALSE,"Protection";"IS_byMonthPlan",#N/A,FALSE,"General Industrial";"IS_byMonthPlan",#N/A,FALSE,"Total Prepreg Inc Stmt";"hdcount_plan",#N/A,FALSE,"Headcount"}</definedName>
    <definedName name="test2c" hidden="1">{"BalSht_byMonthPlan",#N/A,FALSE,"Legal Entity Bal Sht";"BalSht_byMonthPlan",#N/A,FALSE,"Lyon_Corp Bal Sht";"BalSht_byMonthPlan",#N/A,FALSE,"Fabrics Bal Sht";"BalSht_byMonthPlan",#N/A,FALSE,"Prepreg Bal Sht";"AR_byMonthPlan",#N/A,FALSE,"Legal Entity AR";"AR_byMonthPlan",#N/A,FALSE,"Fabrics AR";"AR_byMonthPlan",#N/A,FALSE,"Prepreg AR";"PPE_byMonthPlan",#N/A,FALSE,"Legal Entity PP&amp;E";"PPE_byMonthPlan",#N/A,FALSE,"Fabrics PP&amp;E";"PPE_byMonthPlan",#N/A,FALSE,"Prepreg PP&amp;E";"INV_byMonthPlan",#N/A,FALSE,"Legal Entity Inventory";"INV_byMonthPlan",#N/A,FALSE,"Fabrics Inventory";"INV_byMonthPlan",#N/A,FALSE,"Prepreg Inventory";"WC_byMonthPlan",#N/A,FALSE,"Legal Entity WC Reserves";"WC_byMonthPlan",#N/A,FALSE,"Fabrics WC Reserves";"WC_byMonthPlan",#N/A,FALSE,"Prepreg WC Reserves";"RESTR_byMonthPlan",#N/A,FALSE,"Restr. Detail";"DEBT_byMonthPlan",#N/A,FALSE,"Debt";"CF_byMonthPlan",#N/A,FALSE,"Legal Entity Cashflow";"CF_byMonthPlan",#N/A,FALSE,"Lyon_Corp Cashflow";"CF_byMonthPlan",#N/A,FALSE,"Fabrics Cashflow";"CF_byMonthPlan",#N/A,FALSE,"Prepreg Cashflow";"IS_byMonthPlan",#N/A,FALSE,"Legal Entity Inc Stmt";"IS_byMonthPlan",#N/A,FALSE,"Lyon_Corp Inc Stmt";"IS_byMonthPlan",#N/A,FALSE,"Fabrics Total Inc Stmt";"IS_byMonthPlan",#N/A,FALSE,"Architectural";"IS_byMonthPlan",#N/A,FALSE,"Reinforcement for Composites";"IS_byMonthPlan",#N/A,FALSE,"Electrical";"IS_byMonthPlan",#N/A,FALSE,"Ballistics";"IS_byMonthPlan",#N/A,FALSE,"Protection";"IS_byMonthPlan",#N/A,FALSE,"General Industrial";"IS_byMonthPlan",#N/A,FALSE,"Total Prepreg Inc Stmt";"hdcount_plan",#N/A,FALSE,"Headcount"}</definedName>
    <definedName name="test2x" hidden="1">{"BalSht_byMonthPlan",#N/A,FALSE,"Legal Entity Bal Sht";"BalSht_byMonthPlan",#N/A,FALSE,"Lyon_Corp Bal Sht";"BalSht_byMonthPlan",#N/A,FALSE,"Fabrics Bal Sht";"BalSht_byMonthPlan",#N/A,FALSE,"Prepreg Bal Sht";"AR_byMonthPlan",#N/A,FALSE,"Legal Entity AR";"AR_byMonthPlan",#N/A,FALSE,"Fabrics AR";"AR_byMonthPlan",#N/A,FALSE,"Prepreg AR";"PPE_byMonthPlan",#N/A,FALSE,"Legal Entity PP&amp;E";"PPE_byMonthPlan",#N/A,FALSE,"Fabrics PP&amp;E";"PPE_byMonthPlan",#N/A,FALSE,"Prepreg PP&amp;E";"INV_byMonthPlan",#N/A,FALSE,"Legal Entity Inventory";"INV_byMonthPlan",#N/A,FALSE,"Fabrics Inventory";"INV_byMonthPlan",#N/A,FALSE,"Prepreg Inventory";"WC_byMonthPlan",#N/A,FALSE,"Legal Entity WC Reserves";"WC_byMonthPlan",#N/A,FALSE,"Fabrics WC Reserves";"WC_byMonthPlan",#N/A,FALSE,"Prepreg WC Reserves";"RESTR_byMonthPlan",#N/A,FALSE,"Restr. Detail";"DEBT_byMonthPlan",#N/A,FALSE,"Debt";"CF_byMonthPlan",#N/A,FALSE,"Legal Entity Cashflow";"CF_byMonthPlan",#N/A,FALSE,"Lyon_Corp Cashflow";"CF_byMonthPlan",#N/A,FALSE,"Fabrics Cashflow";"CF_byMonthPlan",#N/A,FALSE,"Prepreg Cashflow";"IS_byMonthPlan",#N/A,FALSE,"Legal Entity Inc Stmt";"IS_byMonthPlan",#N/A,FALSE,"Lyon_Corp Inc Stmt";"IS_byMonthPlan",#N/A,FALSE,"Fabrics Total Inc Stmt";"IS_byMonthPlan",#N/A,FALSE,"Architectural";"IS_byMonthPlan",#N/A,FALSE,"Reinforcement for Composites";"IS_byMonthPlan",#N/A,FALSE,"Electrical";"IS_byMonthPlan",#N/A,FALSE,"Ballistics";"IS_byMonthPlan",#N/A,FALSE,"Protection";"IS_byMonthPlan",#N/A,FALSE,"General Industrial";"IS_byMonthPlan",#N/A,FALSE,"Total Prepreg Inc Stmt";"hdcount_plan",#N/A,FALSE,"Headcount"}</definedName>
    <definedName name="test3" hidden="1">{"FCST_byMonth",#N/A,FALSE,"Legal Entity Inc Stmt";"FCST_Report",#N/A,FALSE,"Legal Entity Inc Stmt";"FCST_byMonth",#N/A,FALSE,"Lyon_Corp Inc Stmt";"FCST_byMonth",#N/A,FALSE,"Fabrics Total Inc Stmt";"FCST_Report",#N/A,FALSE,"Fabrics Total Inc Stmt";"FCST_byMonth",#N/A,FALSE,"Architectural";"FCST_Report",#N/A,FALSE,"Architectural";"FCST_byMonth",#N/A,FALSE,"Reinforcement for Composites";"FCST_Report",#N/A,FALSE,"Reinforcement for Composites";"FCST_byMonth",#N/A,FALSE,"Electrical";"FCST_Report",#N/A,FALSE,"Electrical";"FCST_byMonth",#N/A,FALSE,"Ballistics";"FCST_Report",#N/A,FALSE,"Ballistics";"FCST_byMonth",#N/A,FALSE,"Protection";"FCST_Report",#N/A,FALSE,"Protection";"FCST_byMonth",#N/A,FALSE,"General Industrial";"FCST_Report",#N/A,FALSE,"General Industrial";"FCST_byMonth",#N/A,FALSE,"Total Prepreg Inc Stmt";"FCST_Report",#N/A,FALSE,"Total Prepreg Inc Stmt"}</definedName>
    <definedName name="test3a" hidden="1">{"FCST_byMonth",#N/A,FALSE,"Legal Entity Inc Stmt";"FCST_Report",#N/A,FALSE,"Legal Entity Inc Stmt";"FCST_byMonth",#N/A,FALSE,"Lyon_Corp Inc Stmt";"FCST_byMonth",#N/A,FALSE,"Fabrics Total Inc Stmt";"FCST_Report",#N/A,FALSE,"Fabrics Total Inc Stmt";"FCST_byMonth",#N/A,FALSE,"Architectural";"FCST_Report",#N/A,FALSE,"Architectural";"FCST_byMonth",#N/A,FALSE,"Reinforcement for Composites";"FCST_Report",#N/A,FALSE,"Reinforcement for Composites";"FCST_byMonth",#N/A,FALSE,"Electrical";"FCST_Report",#N/A,FALSE,"Electrical";"FCST_byMonth",#N/A,FALSE,"Ballistics";"FCST_Report",#N/A,FALSE,"Ballistics";"FCST_byMonth",#N/A,FALSE,"Protection";"FCST_Report",#N/A,FALSE,"Protection";"FCST_byMonth",#N/A,FALSE,"General Industrial";"FCST_Report",#N/A,FALSE,"General Industrial";"FCST_byMonth",#N/A,FALSE,"Total Prepreg Inc Stmt";"FCST_Report",#N/A,FALSE,"Total Prepreg Inc Stmt"}</definedName>
    <definedName name="test3b" hidden="1">{"FCST_byMonth",#N/A,FALSE,"Legal Entity Inc Stmt";"FCST_Report",#N/A,FALSE,"Legal Entity Inc Stmt";"FCST_byMonth",#N/A,FALSE,"Lyon_Corp Inc Stmt";"FCST_byMonth",#N/A,FALSE,"Fabrics Total Inc Stmt";"FCST_Report",#N/A,FALSE,"Fabrics Total Inc Stmt";"FCST_byMonth",#N/A,FALSE,"Architectural";"FCST_Report",#N/A,FALSE,"Architectural";"FCST_byMonth",#N/A,FALSE,"Reinforcement for Composites";"FCST_Report",#N/A,FALSE,"Reinforcement for Composites";"FCST_byMonth",#N/A,FALSE,"Electrical";"FCST_Report",#N/A,FALSE,"Electrical";"FCST_byMonth",#N/A,FALSE,"Ballistics";"FCST_Report",#N/A,FALSE,"Ballistics";"FCST_byMonth",#N/A,FALSE,"Protection";"FCST_Report",#N/A,FALSE,"Protection";"FCST_byMonth",#N/A,FALSE,"General Industrial";"FCST_Report",#N/A,FALSE,"General Industrial";"FCST_byMonth",#N/A,FALSE,"Total Prepreg Inc Stmt";"FCST_Report",#N/A,FALSE,"Total Prepreg Inc Stmt"}</definedName>
    <definedName name="TEST69" hidden="1">{"BalSht_byMonthPlan",#N/A,FALSE,"Legal Entity Bal Sht";"BalSht_byMonthPlan",#N/A,FALSE,"Lyon_Corp Bal Sht";"BalSht_byMonthPlan",#N/A,FALSE,"Fabrics Bal Sht";"BalSht_byMonthPlan",#N/A,FALSE,"Prepreg Bal Sht";"AR_byMonthPlan",#N/A,FALSE,"Legal Entity AR";"AR_byMonthPlan",#N/A,FALSE,"Fabrics AR";"AR_byMonthPlan",#N/A,FALSE,"Prepreg AR";"PPE_byMonthPlan",#N/A,FALSE,"Legal Entity PP&amp;E";"PPE_byMonthPlan",#N/A,FALSE,"Fabrics PP&amp;E";"PPE_byMonthPlan",#N/A,FALSE,"Prepreg PP&amp;E";"INV_byMonthPlan",#N/A,FALSE,"Legal Entity Inventory";"INV_byMonthPlan",#N/A,FALSE,"Fabrics Inventory";"INV_byMonthPlan",#N/A,FALSE,"Prepreg Inventory";"WC_byMonthPlan",#N/A,FALSE,"Legal Entity WC Reserves";"WC_byMonthPlan",#N/A,FALSE,"Fabrics WC Reserves";"WC_byMonthPlan",#N/A,FALSE,"Prepreg WC Reserves";"RESTR_byMonthPlan",#N/A,FALSE,"Restr. Detail";"DEBT_byMonthPlan",#N/A,FALSE,"Debt";"CF_byMonthPlan",#N/A,FALSE,"Legal Entity Cashflow";"CF_byMonthPlan",#N/A,FALSE,"Lyon_Corp Cashflow";"CF_byMonthPlan",#N/A,FALSE,"Fabrics Cashflow";"CF_byMonthPlan",#N/A,FALSE,"Prepreg Cashflow";"IS_byMonthPlan",#N/A,FALSE,"Legal Entity Inc Stmt";"IS_byMonthPlan",#N/A,FALSE,"Lyon_Corp Inc Stmt";"IS_byMonthPlan",#N/A,FALSE,"Fabrics Total Inc Stmt";"IS_byMonthPlan",#N/A,FALSE,"Architectural";"IS_byMonthPlan",#N/A,FALSE,"Reinforcement for Composites";"IS_byMonthPlan",#N/A,FALSE,"Electrical";"IS_byMonthPlan",#N/A,FALSE,"Ballistics";"IS_byMonthPlan",#N/A,FALSE,"Protection";"IS_byMonthPlan",#N/A,FALSE,"General Industrial";"IS_byMonthPlan",#N/A,FALSE,"Total Prepreg Inc Stmt";"hdcount_plan",#N/A,FALSE,"Headcount"}</definedName>
    <definedName name="threeTomC." hidden="1">{"Total East",#N/A,FALSE,"East";"Atlanta",#N/A,FALSE,"East";"Baltimore",#N/A,FALSE,"East";"Charlotte",#N/A,FALSE,"East";"Maitland",#N/A,FALSE,"East";"Marlton Admin",#N/A,FALSE,"East";"Marlton Sales",#N/A,FALSE,"East";"Pittsburgh",#N/A,FALSE,"East";"Plymouth Meeting",#N/A,FALSE,"East";"Raleigh",#N/A,FALSE,"East";"Richmond",#N/A,FALSE,"East";"Tampa",#N/A,FALSE,"East";"White Plains",#N/A,FALSE,"East"}</definedName>
    <definedName name="toms1and2" hidden="1">{"Total East",#N/A,FALSE,"East";"Atlanta",#N/A,FALSE,"East";"Baltimore",#N/A,FALSE,"East";"Charlotte",#N/A,FALSE,"East";"Maitland",#N/A,FALSE,"East";"Marlton Admin",#N/A,FALSE,"East";"Marlton Sales",#N/A,FALSE,"East";"Pittsburgh",#N/A,FALSE,"East";"Plymouth Meeting",#N/A,FALSE,"East";"Raleigh",#N/A,FALSE,"East";"Richmond",#N/A,FALSE,"East";"Tampa",#N/A,FALSE,"East";"White Plains",#N/A,FALSE,"East"}</definedName>
    <definedName name="TTT" hidden="1">{"Total Wholesale",#N/A,FALSE,"Wholesale";"Whsle_Admin",#N/A,FALSE,"Wholesale";"Whsle_Lombard",#N/A,FALSE,"Wholesale";"Whsle_Marlton",#N/A,FALSE,"Wholesale";"Whsle_Pleasanton",#N/A,FALSE,"Wholesale"}</definedName>
    <definedName name="wrn.2001._.plan." hidden="1">{#N/A,#N/A,FALSE,"Op Exp By Cost Ctr";#N/A,#N/A,FALSE,"ASSUMPTIONS";#N/A,#N/A,FALSE,"P&amp;L";#N/A,#N/A,FALSE,"Graph";#N/A,#N/A,FALSE,"Op Exp Chart";#N/A,#N/A,FALSE,"Op Exp By Cost Ctr";#N/A,#N/A,FALSE,"FTE Graph"}</definedName>
    <definedName name="wrn.Admin." hidden="1">{"Total Admin",#N/A,FALSE,"Admin";"Executive",#N/A,FALSE,"Admin";"Finance",#N/A,FALSE,"Admin";"Marketing",#N/A,FALSE,"Admin";"NonDepartmental",#N/A,FALSE,"Admin"}</definedName>
    <definedName name="wrn.ALL." hidden="1">{"TOTAL",#N/A,FALSE,"Total";"Total East",#N/A,FALSE,"East";"Atlanta",#N/A,FALSE,"East";"Baltimore",#N/A,FALSE,"East";"Charlotte",#N/A,FALSE,"East";"Maitland",#N/A,FALSE,"East";"Marlton Admin",#N/A,FALSE,"East";"Marlton Sales",#N/A,FALSE,"East";"Pittsburgh",#N/A,FALSE,"East";"Plymouth Meeting",#N/A,FALSE,"East";"Raleigh",#N/A,FALSE,"East";"Richmond",#N/A,FALSE,"East";"Tampa",#N/A,FALSE,"East";"White Plains",#N/A,FALSE,"East";"Total Central",#N/A,FALSE,"Central";"Cincinnati",#N/A,FALSE,"Central";"Cleveland",#N/A,FALSE,"Central";"Columbus",#N/A,FALSE,"Central";"Denver",#N/A,FALSE,"Central";"Indianapolis",#N/A,FALSE,"Central";"Lombard Admin",#N/A,FALSE,"Central";"Lombard Sales",#N/A,FALSE,"Central";"Louisville",#N/A,FALSE,"Central";"Nashville",#N/A,FALSE,"Central";"Novi",#N/A,FALSE,"Central";"Oklahoma City",#N/A,FALSE,"Central";"St Louis",#N/A,FALSE,"Central";"Total West",#N/A,FALSE,"West";"Austin",#N/A,FALSE,"West";"Dallas",#N/A,FALSE,"West";"Houston",#N/A,FALSE,"West";"Las Vegas",#N/A,FALSE,"West";"Pasadena",#N/A,FALSE,"West";"Phoenix",#N/A,FALSE,"West";"Pleasanton Admin",#N/A,FALSE,"West";"Pleasanton Sales",#N/A,FALSE,"West";"Portland",#N/A,FALSE,"West";"Salt Lake City",#N/A,FALSE,"West";"San Diego",#N/A,FALSE,"West";"Seattle",#N/A,FALSE,"West";"NHEC",#N/A,FALSE,"NHEC";"Total Wholesale",#N/A,FALSE,"Wholesale";"Whsle_Admin",#N/A,FALSE,"Wholesale";"Whsle_Lombard",#N/A,FALSE,"Wholesale";"Whsle_Marlton",#N/A,FALSE,"Wholesale";"Whsle_Pleasanton",#N/A,FALSE,"Wholesale";"Total Admin",#N/A,FALSE,"Admin";"Executive",#N/A,FALSE,"Admin";"Finance",#N/A,FALSE,"Admin";"Marketing",#N/A,FALSE,"Admin";"NonDepartmental",#N/A,FALSE,"Admin";"Total Credit",#N/A,FALSE,"Credit";"Appraisal",#N/A,FALSE,"Credit";"Customer Service",#N/A,FALSE,"Credit";"Home Office",#N/A,FALSE,"Credit";"Quality Control",#N/A,FALSE,"Credit";"Risk Mgmt",#N/A,FALSE,"Credit"}</definedName>
    <definedName name="wrn.All._.3._.Pages." hidden="1">{#N/A,#N/A,FALSE,"WCI - Bud - Fin. Sum. ";"Summary",#N/A,FALSE,"Summary (g)";"GM with comments",#N/A,FALSE,"GM by Client";"Program Notes",#N/A,FALSE,"Summary (g)";"Risk",#N/A,FALSE,"Summary (g)";#N/A,#N/A,FALSE,"COS by Client by CC";"GM by month",#N/A,FALSE,"GM by Client";#N/A,#N/A,FALSE,"Salaries";#N/A,#N/A,FALSE,"HO Sch 1";"Growth PL sum",#N/A,FALSE,"WCI - Bud - P&amp;L with Growth";#N/A,#N/A,FALSE,"3 CCs"}</definedName>
    <definedName name="wrn.Bluebook." hidden="1">{#N/A,#N/A,FALSE,"P&amp;L";#N/A,#N/A,FALSE,"Graph";#N/A,#N/A,FALSE,"Variance Commentary";#N/A,#N/A,FALSE,"FTE Graph"}</definedName>
    <definedName name="wrn.Business._.Activities." hidden="1">{#N/A,#N/A,FALSE,"Trends";#N/A,#N/A,FALSE,"LnsCust";#N/A,#N/A,FALSE,"Collections";#N/A,#N/A,FALSE,"Summary";#N/A,#N/A,FALSE,"Actual-Input";#N/A,#N/A,FALSE,"Plan"}</definedName>
    <definedName name="wrn.Central." hidden="1">{"Total Central",#N/A,FALSE,"Central";"Cincinnati",#N/A,FALSE,"Central";"Cleveland",#N/A,FALSE,"Central";"Columbus",#N/A,FALSE,"Central";"Denver",#N/A,FALSE,"Central";"Indianapolis",#N/A,FALSE,"Central";"Lombard Admin",#N/A,FALSE,"Central";"Lombard Sales",#N/A,FALSE,"Central";"Louisville",#N/A,FALSE,"Central";"Nashville",#N/A,FALSE,"Central";"Novi",#N/A,FALSE,"Central";"Oklahoma City",#N/A,FALSE,"Central";"St Louis",#N/A,FALSE,"Central"}</definedName>
    <definedName name="wrn.Credit." hidden="1">{"Total Credit",#N/A,FALSE,"Credit";"Appraisal",#N/A,FALSE,"Credit";"Customer Service",#N/A,FALSE,"Credit";"Home Office",#N/A,FALSE,"Credit";"Quality Control",#N/A,FALSE,"Credit";"Risk Mgmt",#N/A,FALSE,"Credit"}</definedName>
    <definedName name="wrn.CUNA." hidden="1">{#N/A,#N/A,FALSE,"Sales Results";#N/A,#N/A,FALSE,"Sales Results"}</definedName>
    <definedName name="wrn.East." hidden="1">{"Total East",#N/A,FALSE,"East";"Atlanta",#N/A,FALSE,"East";"Baltimore",#N/A,FALSE,"East";"Charlotte",#N/A,FALSE,"East";"Maitland",#N/A,FALSE,"East";"Marlton Admin",#N/A,FALSE,"East";"Marlton Sales",#N/A,FALSE,"East";"Pittsburgh",#N/A,FALSE,"East";"Plymouth Meeting",#N/A,FALSE,"East";"Raleigh",#N/A,FALSE,"East";"Richmond",#N/A,FALSE,"East";"Tampa",#N/A,FALSE,"East";"White Plains",#N/A,FALSE,"East"}</definedName>
    <definedName name="wrn.Euromaterials_LEa" hidden="1">{#N/A,#N/A,FALSE,"Euromat"}</definedName>
    <definedName name="wrn.Euromaterials_LEb" hidden="1">{#N/A,#N/A,FALSE,"Euromat"}</definedName>
    <definedName name="wrn.Executive._.Summary._.Growth." hidden="1">{#N/A,#N/A,FALSE,"WCI - Bud - Fin. Sum. ";"Summary",#N/A,FALSE,"Summary (g)";"GM with comments",#N/A,FALSE,"GM by Client";"Program Notes",#N/A,FALSE,"Summary (g)";"Risk",#N/A,FALSE,"Summary (g)";#N/A,#N/A,FALSE,"COS by Client by CC";"GM by month",#N/A,FALSE,"GM by Client";#N/A,#N/A,FALSE,"Salaries";#N/A,#N/A,FALSE,"HO Sch 1";"Growth PL sum",#N/A,FALSE,"WCI - Bud - P&amp;L with Growth";#N/A,#N/A,FALSE,"3 CCs"}</definedName>
    <definedName name="wrn.Month_Level_01." hidden="1">{#N/A,#N/A,FALSE,"CANADA - P&amp;L MONTH";#N/A,#N/A,FALSE,"DFSCAN - P&amp;L MONTH";#N/A,#N/A,FALSE,"OPC - P&amp;L MONTH";#N/A,#N/A,FALSE,"CANOTH - P&amp;L MONTH"}</definedName>
    <definedName name="wrn.Month_Level_02." hidden="1">{#N/A,#N/A,FALSE,"CANADA - P&amp;L MONTH";#N/A,#N/A,FALSE,"DFSCAN - P&amp;L MONTH";#N/A,#N/A,FALSE,"OPC - P&amp;L MONTH";#N/A,#N/A,FALSE,"CANOTH - P&amp;L MONTH";#N/A,#N/A,FALSE,"TECHCAN - P&amp;L MONTH";#N/A,#N/A,FALSE,"FINLINX - P&amp;L MONTH";#N/A,#N/A,FALSE,"IFWORKOUT - P&amp;L MONTH";#N/A,#N/A,FALSE,"AGILENTICA - P&amp;L MONTH";#N/A,#N/A,FALSE,"RFG0011000 - P&amp;L MONTH"}</definedName>
    <definedName name="wrn.NHEC." hidden="1">{"NHEC",#N/A,FALSE,"NHEC"}</definedName>
    <definedName name="wrn.QTR_Level_01." hidden="1">{#N/A,#N/A,FALSE,"CANADA - P&amp;L QTR";#N/A,#N/A,FALSE,"DFSCAN - P&amp;L QTR";#N/A,#N/A,FALSE,"OPC - P&amp;L QTR";#N/A,#N/A,FALSE,"CANOTH - P&amp;L QTR"}</definedName>
    <definedName name="wrn.QTR_Level_02." hidden="1">{#N/A,#N/A,FALSE,"CANADA - P&amp;L QTR";#N/A,#N/A,FALSE,"DFSCAN - P&amp;L QTR";#N/A,#N/A,FALSE,"OPC - P&amp;L QTR";#N/A,#N/A,FALSE,"CANOTH - P&amp;L QTR";#N/A,#N/A,FALSE,"TECHCAN - P&amp;L QTR";#N/A,#N/A,FALSE,"FINLINX - P&amp;L QTR";#N/A,#N/A,FALSE,"IFWORKOUT - P&amp;L QTR";#N/A,#N/A,FALSE,"AGILENTCA - P&amp;L QTR";#N/A,#N/A,FALSE,"RFG0011000 - P&amp;L QTR"}</definedName>
    <definedName name="wrn.REPORT." hidden="1">{#N/A,#N/A,FALSE,"PAYOUT FAX";#N/A,#N/A,FALSE,"LOANS NOT FUNDED";#N/A,#N/A,FALSE,"CHCKDIGT";#N/A,#N/A,FALSE,"JRNL_ENT"}</definedName>
    <definedName name="wrn.REPORT._.SET." hidden="1">{"PRINTED COLUMNS ONLY",#N/A,FALSE,"PURCHASE FAX";"JE",#N/A,FALSE,"JRNL_ENT"}</definedName>
    <definedName name="wrn.report._.set._.with._.311." hidden="1">{"summary report",#N/A,FALSE,"SUMMARY REPORT";"salary model ytd",#N/A,FALSE,"SALARY MODEL - YTD";"salary model mtd",#N/A,FALSE,"SALARY MODEL - MTD";"detail 311",#N/A,FALSE,"311 ACTUAL"}</definedName>
    <definedName name="wrn.report._.set._.without._.311." hidden="1">{"summary report",#N/A,FALSE,"SUMMARY REPORT";"salary model ytd",#N/A,FALSE,"SALARY MODEL - YTD";"salary model mtd",#N/A,FALSE,"SALARY MODEL - MTD"}</definedName>
    <definedName name="wrn.scorecard." hidden="1">{#N/A,#N/A,TRUE,"T1 PassR by product";#N/A,#N/A,TRUE,"T2 PassR By Channel";#N/A,#N/A,TRUE,"T3A Decision &amp; T3B Funded";#N/A,#N/A,TRUE,"PRECREEN CHANNEL 1998 ONLY";#N/A,#N/A,TRUE,"Approval Exception Distribution";#N/A,#N/A,TRUE,"Approval Exception Rates";#N/A,#N/A,TRUE,"T7Funded Exception Distribution";#N/A,#N/A,TRUE,"T8 Funded Exception Rates";#N/A,#N/A,TRUE,"Exception vs nonexception";#N/A,#N/A,TRUE,"Prelim Decline Adverse Actions";#N/A,#N/A,TRUE,"Final Decline Adverse Actions";#N/A,#N/A,TRUE,"DECLINE REASONS Prelim";#N/A,#N/A,TRUE,"DECLINE REASONS";#N/A,#N/A,TRUE,"Port. and Orig. By State";#N/A,#N/A,TRUE,"Port. and Orig. By Product";#N/A,#N/A,TRUE,"Paidoff by pool";#N/A,#N/A,TRUE,"paidoff by vintage";#N/A,#N/A,TRUE,"Score Migration";#N/A,#N/A,TRUE,"T15_2";#N/A,#N/A,TRUE,"Median Debt Reload";#N/A,#N/A,TRUE,"Accounts Tracked";#N/A,#N/A,TRUE,"Reload by Vintage"}</definedName>
    <definedName name="wrn.scorecard._new" hidden="1">{#N/A,#N/A,TRUE,"T1 PassR by product";#N/A,#N/A,TRUE,"T2 PassR By Channel";#N/A,#N/A,TRUE,"T3A Decision &amp; T3B Funded";#N/A,#N/A,TRUE,"PRECREEN CHANNEL 1998 ONLY";#N/A,#N/A,TRUE,"Approval Exception Distribution";#N/A,#N/A,TRUE,"Approval Exception Rates";#N/A,#N/A,TRUE,"T7Funded Exception Distribution";#N/A,#N/A,TRUE,"T8 Funded Exception Rates";#N/A,#N/A,TRUE,"Exception vs nonexception";#N/A,#N/A,TRUE,"Prelim Decline Adverse Actions";#N/A,#N/A,TRUE,"Final Decline Adverse Actions";#N/A,#N/A,TRUE,"DECLINE REASONS Prelim";#N/A,#N/A,TRUE,"DECLINE REASONS";#N/A,#N/A,TRUE,"Port. and Orig. By State";#N/A,#N/A,TRUE,"Port. and Orig. By Product";#N/A,#N/A,TRUE,"Paidoff by pool";#N/A,#N/A,TRUE,"paidoff by vintage";#N/A,#N/A,TRUE,"Score Migration";#N/A,#N/A,TRUE,"T15_2";#N/A,#N/A,TRUE,"Median Debt Reload";#N/A,#N/A,TRUE,"Accounts Tracked";#N/A,#N/A,TRUE,"Reload by Vintage"}</definedName>
    <definedName name="wrn.SEC._.QUARTERLY._.PROJ." hidden="1">{"Cover Sheet",#N/A,FALSE,"Cover Sheet";"SEC QTRLY INC STMT",#N/A,FALSE,"SEC Quarterlies";"SEC QTRLY BAL SHEET",#N/A,FALSE,"SEC Quarterlies";"SEC QTRLY CASH FLOW",#N/A,FALSE,"SEC Quarterlies";"SEC QTRLY ASSUMPTIONS",#N/A,FALSE,"SEC Quarterlies"}</definedName>
    <definedName name="wrn.Summary." hidden="1">{#N/A,#N/A,FALSE,"INPUT";#N/A,#N/A,FALSE,"P&amp;L";#N/A,#N/A,FALSE,"Graph";#N/A,#N/A,FALSE,"Op Exp By Cost Ctr";#N/A,#N/A,FALSE,"Op Exp Chart"}</definedName>
    <definedName name="wrn.summary._.reports." hidden="1">{#N/A,#N/A,FALSE,"Total Capital Plan";#N/A,#N/A,FALSE,"2000 EDULINX Capital Plan";#N/A,#N/A,FALSE,"1999 EDULINX Capital Plan";#N/A,#N/A,FALSE,"1999 CIBC Funded Capital Plan";#N/A,#N/A,FALSE,"Summary"}</definedName>
    <definedName name="wrn.TOTAL." hidden="1">{"TOTAL",#N/A,FALSE,"Total";"Total East",#N/A,FALSE,"East";"Total Central",#N/A,FALSE,"Central";"Total West",#N/A,FALSE,"West";"NHEC",#N/A,FALSE,"NHEC";"Total Wholesale",#N/A,FALSE,"Wholesale";"Total Credit",#N/A,FALSE,"Credit";"Total Admin",#N/A,FALSE,"Admin"}</definedName>
    <definedName name="wrn.West." hidden="1">{"Total West",#N/A,FALSE,"West";"Austin",#N/A,FALSE,"West";"Dallas",#N/A,FALSE,"West";"Houston",#N/A,FALSE,"West";"Las Vegas",#N/A,FALSE,"West";"Pasadena",#N/A,FALSE,"West";"Phoenix",#N/A,FALSE,"West";"Pleasanton Admin",#N/A,FALSE,"West";"Pleasanton Sales",#N/A,FALSE,"West";"Portland",#N/A,FALSE,"West";"Salt Lake City",#N/A,FALSE,"West";"San Diego",#N/A,FALSE,"West";"Seattle",#N/A,FALSE,"West"}</definedName>
    <definedName name="wrn.Wholesale." hidden="1">{"Total Wholesale",#N/A,FALSE,"Wholesale";"Whsle_Admin",#N/A,FALSE,"Wholesale";"Whsle_Lombard",#N/A,FALSE,"Wholesale";"Whsle_Marlton",#N/A,FALSE,"Wholesale";"Whsle_Pleasanton",#N/A,FALSE,"Wholesale"}</definedName>
    <definedName name="Z_61F3E348_5958_11D3_8892_0000832DEAF9_.wvu.PrintTitles" hidden="1">#REF!,#REF!</definedName>
    <definedName name="Z_61F3E349_5958_11D3_8892_0000832DEAF9_.wvu.PrintTitles" hidden="1">#REF!,#REF!</definedName>
    <definedName name="Z_61F3E34B_5958_11D3_8892_0000832DEAF9_.wvu.PrintTitles" hidden="1">#REF!,#REF!</definedName>
    <definedName name="Z_61F3E34C_5958_11D3_8892_0000832DEAF9_.wvu.PrintTitles" hidden="1">#REF!,#REF!</definedName>
    <definedName name="Z_61F3E34E_5958_11D3_8892_0000832DEAF9_.wvu.PrintTitles" hidden="1">#REF!,#REF!</definedName>
    <definedName name="Z_61F3E34F_5958_11D3_8892_0000832DEAF9_.wvu.PrintTitles" hidden="1">#REF!,#REF!</definedName>
    <definedName name="Z_61F3E351_5958_11D3_8892_0000832DEAF9_.wvu.PrintTitles" hidden="1">#REF!,#REF!</definedName>
    <definedName name="Z_61F3E352_5958_11D3_8892_0000832DEAF9_.wvu.PrintTitles" hidden="1">#REF!,#REF!</definedName>
    <definedName name="Z_61F3E355_5958_11D3_8892_0000832DEAF9_.wvu.PrintTitles" hidden="1">#REF!,#REF!</definedName>
    <definedName name="Z_61F3E356_5958_11D3_8892_0000832DEAF9_.wvu.PrintTitles" hidden="1">#REF!,#REF!</definedName>
    <definedName name="Z_61F3E358_5958_11D3_8892_0000832DEAF9_.wvu.PrintTitles" hidden="1">#REF!,#REF!</definedName>
    <definedName name="Z_61F3E359_5958_11D3_8892_0000832DEAF9_.wvu.PrintTitles" hidden="1">#REF!,#REF!</definedName>
    <definedName name="Z_61F3E35B_5958_11D3_8892_0000832DEAF9_.wvu.PrintTitles" hidden="1">#REF!,#REF!</definedName>
    <definedName name="Z_61F3E35C_5958_11D3_8892_0000832DEAF9_.wvu.PrintTitles" hidden="1">#REF!,#REF!</definedName>
    <definedName name="Z_61F3E35E_5958_11D3_8892_0000832DEAF9_.wvu.PrintTitles" hidden="1">#REF!,#REF!</definedName>
    <definedName name="Z_61F3E35F_5958_11D3_8892_0000832DEAF9_.wvu.PrintTitles" hidden="1">#REF!,#REF!</definedName>
    <definedName name="Z_61F3E361_5958_11D3_8892_0000832DEAF9_.wvu.PrintTitles" hidden="1">#REF!,#REF!</definedName>
    <definedName name="Z_61F3E362_5958_11D3_8892_0000832DEAF9_.wvu.PrintTitles" hidden="1">#REF!,#REF!</definedName>
    <definedName name="Z_61F3E364_5958_11D3_8892_0000832DEAF9_.wvu.PrintTitles" hidden="1">#REF!,#REF!</definedName>
    <definedName name="Z_61F3E365_5958_11D3_8892_0000832DEAF9_.wvu.PrintTitles" hidden="1">#REF!,#REF!</definedName>
    <definedName name="Z_87743A9C_80A6_11D3_8889_0000832DEAF9_.wvu.Cols" hidden="1">#REF!,#REF!</definedName>
    <definedName name="Z_87743A9C_80A6_11D3_8889_0000832DEAF9_.wvu.PrintTitles" hidden="1">#REF!,#REF!</definedName>
    <definedName name="Z_87743A9C_80A6_11D3_8889_0000832DEAF9_.wvu.Rows" hidden="1">#REF!,#REF!,#REF!,#REF!,#REF!,#REF!,#REF!</definedName>
    <definedName name="Z_87743A9D_80A6_11D3_8889_0000832DEAF9_.wvu.Cols" hidden="1">#REF!,#REF!</definedName>
    <definedName name="Z_87743A9D_80A6_11D3_8889_0000832DEAF9_.wvu.PrintTitles" hidden="1">#REF!,#REF!</definedName>
    <definedName name="Z_87743A9D_80A6_11D3_8889_0000832DEAF9_.wvu.Rows" hidden="1">#REF!,#REF!,#REF!,#REF!,#REF!,#REF!,#REF!</definedName>
    <definedName name="Z_87743A9E_80A6_11D3_8889_0000832DEAF9_.wvu.Cols" hidden="1">#REF!,#REF!</definedName>
    <definedName name="Z_87743A9E_80A6_11D3_8889_0000832DEAF9_.wvu.PrintTitles" hidden="1">#REF!,#REF!</definedName>
    <definedName name="Z_87743A9E_80A6_11D3_8889_0000832DEAF9_.wvu.Rows" hidden="1">#REF!,#REF!,#REF!,#REF!,#REF!,#REF!,#REF!</definedName>
    <definedName name="Z_87743A9F_80A6_11D3_8889_0000832DEAF9_.wvu.Cols" hidden="1">#REF!,#REF!</definedName>
    <definedName name="Z_87743A9F_80A6_11D3_8889_0000832DEAF9_.wvu.PrintTitles" hidden="1">#REF!,#REF!</definedName>
    <definedName name="Z_87743A9F_80A6_11D3_8889_0000832DEAF9_.wvu.Rows" hidden="1">#REF!,#REF!,#REF!,#REF!,#REF!,#REF!,#REF!</definedName>
    <definedName name="Z_87743AA0_80A6_11D3_8889_0000832DEAF9_.wvu.Cols" hidden="1">#REF!,#REF!</definedName>
    <definedName name="Z_87743AA0_80A6_11D3_8889_0000832DEAF9_.wvu.PrintTitles" hidden="1">#REF!,#REF!</definedName>
    <definedName name="Z_87743AA0_80A6_11D3_8889_0000832DEAF9_.wvu.Rows" hidden="1">#REF!,#REF!,#REF!,#REF!,#REF!,#REF!,#REF!</definedName>
    <definedName name="Z_87743AA1_80A6_11D3_8889_0000832DEAF9_.wvu.Cols" hidden="1">#REF!,#REF!</definedName>
    <definedName name="Z_87743AA1_80A6_11D3_8889_0000832DEAF9_.wvu.PrintTitles" hidden="1">#REF!,#REF!</definedName>
    <definedName name="Z_87743AA1_80A6_11D3_8889_0000832DEAF9_.wvu.Rows" hidden="1">#REF!,#REF!,#REF!,#REF!,#REF!,#REF!,#REF!</definedName>
    <definedName name="Z_87743AA2_80A6_11D3_8889_0000832DEAF9_.wvu.Cols" hidden="1">#REF!,#REF!</definedName>
    <definedName name="Z_87743AA2_80A6_11D3_8889_0000832DEAF9_.wvu.PrintTitles" hidden="1">#REF!,#REF!</definedName>
    <definedName name="Z_87743AA2_80A6_11D3_8889_0000832DEAF9_.wvu.Rows" hidden="1">#REF!,#REF!,#REF!,#REF!,#REF!,#REF!,#REF!</definedName>
    <definedName name="Z_87743AA3_80A6_11D3_8889_0000832DEAF9_.wvu.Cols" hidden="1">#REF!,#REF!</definedName>
    <definedName name="Z_87743AA3_80A6_11D3_8889_0000832DEAF9_.wvu.PrintTitles" hidden="1">#REF!,#REF!</definedName>
    <definedName name="Z_87743AA3_80A6_11D3_8889_0000832DEAF9_.wvu.Rows" hidden="1">#REF!,#REF!,#REF!,#REF!,#REF!,#REF!,#REF!</definedName>
    <definedName name="Z_87743AA4_80A6_11D3_8889_0000832DEAF9_.wvu.Cols" hidden="1">#REF!,#REF!</definedName>
    <definedName name="Z_87743AA4_80A6_11D3_8889_0000832DEAF9_.wvu.PrintTitles" hidden="1">#REF!,#REF!</definedName>
    <definedName name="Z_87743AA4_80A6_11D3_8889_0000832DEAF9_.wvu.Rows" hidden="1">#REF!,#REF!,#REF!,#REF!,#REF!,#REF!,#REF!</definedName>
    <definedName name="Z_87743AA5_80A6_11D3_8889_0000832DEAF9_.wvu.Cols" hidden="1">#REF!,#REF!</definedName>
    <definedName name="Z_87743AA5_80A6_11D3_8889_0000832DEAF9_.wvu.PrintTitles" hidden="1">#REF!,#REF!</definedName>
    <definedName name="Z_87743AA5_80A6_11D3_8889_0000832DEAF9_.wvu.Rows" hidden="1">#REF!,#REF!,#REF!,#REF!,#REF!,#REF!,#REF!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6" i="1" l="1"/>
  <c r="D10" i="1" a="1"/>
  <c r="D10" i="1"/>
  <c r="D11" i="1" a="1"/>
  <c r="D11" i="1"/>
  <c r="D12" i="1" a="1"/>
  <c r="D12" i="1"/>
  <c r="D13" i="1" a="1"/>
  <c r="D13" i="1"/>
  <c r="I10" i="1" a="1"/>
  <c r="I10" i="1"/>
  <c r="I11" i="1" a="1"/>
  <c r="I11" i="1"/>
  <c r="I12" i="1" a="1"/>
  <c r="I12" i="1"/>
  <c r="I13" i="1" a="1"/>
  <c r="I13" i="1"/>
  <c r="D18" i="1" a="1"/>
  <c r="D18" i="1"/>
  <c r="D19" i="1" a="1"/>
  <c r="D19" i="1"/>
  <c r="D20" i="1" a="1"/>
  <c r="D20" i="1"/>
  <c r="D21" i="1" a="1"/>
  <c r="D21" i="1"/>
  <c r="I18" i="1" a="1"/>
  <c r="I18" i="1"/>
  <c r="I19" i="1" a="1"/>
  <c r="I19" i="1"/>
  <c r="I20" i="1" a="1"/>
  <c r="I20" i="1"/>
  <c r="I21" i="1" a="1"/>
  <c r="I21" i="1"/>
  <c r="F2" i="1" l="1"/>
  <c r="D17" i="1"/>
  <c r="D9" i="1"/>
  <c r="G21" i="1" a="1"/>
  <c r="G20" i="1" a="1"/>
  <c r="G19" i="1" a="1"/>
  <c r="G18" i="1" a="1"/>
  <c r="G13" i="1" a="1"/>
  <c r="G12" i="1" a="1"/>
  <c r="G11" i="1" a="1"/>
  <c r="G10" i="1" a="1"/>
  <c r="AT21" i="1" a="1"/>
  <c r="AT20" i="1" a="1"/>
  <c r="AT19" i="1" a="1"/>
  <c r="AT18" i="1" a="1"/>
  <c r="AO21" i="1" a="1"/>
  <c r="AO20" i="1" a="1"/>
  <c r="AO19" i="1" a="1"/>
  <c r="AO18" i="1" a="1"/>
  <c r="BL21" i="1" a="1"/>
  <c r="BL20" i="1" a="1"/>
  <c r="BL19" i="1" a="1"/>
  <c r="BL18" i="1" a="1"/>
  <c r="BJ21" i="1" a="1"/>
  <c r="BI21" i="1" a="1"/>
  <c r="BH21" i="1" a="1"/>
  <c r="BG21" i="1" a="1"/>
  <c r="BJ20" i="1" a="1"/>
  <c r="BI20" i="1" a="1"/>
  <c r="BH20" i="1" a="1"/>
  <c r="BG20" i="1" a="1"/>
  <c r="BJ19" i="1" a="1"/>
  <c r="BI19" i="1" a="1"/>
  <c r="BH19" i="1" a="1"/>
  <c r="BG19" i="1" a="1"/>
  <c r="BJ18" i="1" a="1"/>
  <c r="BI18" i="1" a="1"/>
  <c r="BH18" i="1" a="1"/>
  <c r="BG18" i="1" a="1"/>
  <c r="K21" i="1" a="1"/>
  <c r="J21" i="1" a="1"/>
  <c r="H21" i="1" a="1"/>
  <c r="K20" i="1" a="1"/>
  <c r="J20" i="1" a="1"/>
  <c r="H20" i="1" a="1"/>
  <c r="K19" i="1" a="1"/>
  <c r="J19" i="1" a="1"/>
  <c r="H19" i="1" a="1"/>
  <c r="K18" i="1" a="1"/>
  <c r="J18" i="1" a="1"/>
  <c r="H18" i="1" a="1"/>
  <c r="AT13" i="1" a="1"/>
  <c r="AT12" i="1" a="1"/>
  <c r="AT11" i="1" a="1"/>
  <c r="AT10" i="1" a="1"/>
  <c r="AO13" i="1" a="1"/>
  <c r="AO12" i="1" a="1"/>
  <c r="AO11" i="1" a="1"/>
  <c r="AO10" i="1" a="1"/>
  <c r="BL13" i="1" a="1"/>
  <c r="BL12" i="1" a="1"/>
  <c r="BL11" i="1" a="1"/>
  <c r="BL10" i="1" a="1"/>
  <c r="BJ13" i="1" a="1"/>
  <c r="BI13" i="1" a="1"/>
  <c r="BH13" i="1" a="1"/>
  <c r="BG13" i="1" a="1"/>
  <c r="BJ12" i="1" a="1"/>
  <c r="BI12" i="1" a="1"/>
  <c r="BH12" i="1" a="1"/>
  <c r="BG12" i="1" a="1"/>
  <c r="BJ11" i="1" a="1"/>
  <c r="BI11" i="1" a="1"/>
  <c r="BH11" i="1" a="1"/>
  <c r="BG11" i="1" a="1"/>
  <c r="BJ10" i="1" a="1"/>
  <c r="BI10" i="1" a="1"/>
  <c r="BH10" i="1" a="1"/>
  <c r="BG10" i="1" a="1"/>
  <c r="K13" i="1" a="1"/>
  <c r="J13" i="1" a="1"/>
  <c r="H13" i="1" a="1"/>
  <c r="K12" i="1" a="1"/>
  <c r="J12" i="1" a="1"/>
  <c r="H12" i="1" a="1"/>
  <c r="K11" i="1" a="1"/>
  <c r="J11" i="1" a="1"/>
  <c r="H11" i="1" a="1"/>
  <c r="K10" i="1" a="1"/>
  <c r="J10" i="1" a="1"/>
  <c r="H10" i="1" a="1"/>
  <c r="G10" i="1" l="1"/>
  <c r="G11" i="1"/>
  <c r="G12" i="1"/>
  <c r="G13" i="1"/>
  <c r="G18" i="1"/>
  <c r="G19" i="1"/>
  <c r="G20" i="1"/>
  <c r="G21" i="1"/>
  <c r="H10" i="1"/>
  <c r="J10" i="1"/>
  <c r="K10" i="1"/>
  <c r="H11" i="1"/>
  <c r="J11" i="1"/>
  <c r="K11" i="1"/>
  <c r="H12" i="1"/>
  <c r="J12" i="1"/>
  <c r="K12" i="1"/>
  <c r="H13" i="1"/>
  <c r="J13" i="1"/>
  <c r="K13" i="1"/>
  <c r="BG10" i="1"/>
  <c r="BH10" i="1"/>
  <c r="BI10" i="1"/>
  <c r="BJ10" i="1"/>
  <c r="BG11" i="1"/>
  <c r="BH11" i="1"/>
  <c r="BI11" i="1"/>
  <c r="BJ11" i="1"/>
  <c r="BG12" i="1"/>
  <c r="BH12" i="1"/>
  <c r="BI12" i="1"/>
  <c r="BJ12" i="1"/>
  <c r="BG13" i="1"/>
  <c r="BH13" i="1"/>
  <c r="BI13" i="1"/>
  <c r="BJ13" i="1"/>
  <c r="BL10" i="1"/>
  <c r="BL11" i="1"/>
  <c r="BL12" i="1"/>
  <c r="BL13" i="1"/>
  <c r="AO10" i="1"/>
  <c r="AO11" i="1"/>
  <c r="AO12" i="1"/>
  <c r="AO13" i="1"/>
  <c r="AT10" i="1"/>
  <c r="AC10" i="1" s="1"/>
  <c r="AT11" i="1"/>
  <c r="AT12" i="1"/>
  <c r="AC12" i="1" s="1"/>
  <c r="AT13" i="1"/>
  <c r="H18" i="1"/>
  <c r="J18" i="1"/>
  <c r="K18" i="1"/>
  <c r="H19" i="1"/>
  <c r="J19" i="1"/>
  <c r="K19" i="1"/>
  <c r="H20" i="1"/>
  <c r="J20" i="1"/>
  <c r="K20" i="1"/>
  <c r="H21" i="1"/>
  <c r="J21" i="1"/>
  <c r="K21" i="1"/>
  <c r="BG18" i="1"/>
  <c r="BH18" i="1"/>
  <c r="BI18" i="1"/>
  <c r="BJ18" i="1"/>
  <c r="BG19" i="1"/>
  <c r="BH19" i="1"/>
  <c r="BI19" i="1"/>
  <c r="BJ19" i="1"/>
  <c r="BG20" i="1"/>
  <c r="BH20" i="1"/>
  <c r="BI20" i="1"/>
  <c r="BJ20" i="1"/>
  <c r="BG21" i="1"/>
  <c r="BH21" i="1"/>
  <c r="BI21" i="1"/>
  <c r="BJ21" i="1"/>
  <c r="BL18" i="1"/>
  <c r="BL19" i="1"/>
  <c r="BL20" i="1"/>
  <c r="BL21" i="1"/>
  <c r="AO18" i="1"/>
  <c r="AO19" i="1"/>
  <c r="AO20" i="1"/>
  <c r="AO21" i="1"/>
  <c r="AT18" i="1"/>
  <c r="AT19" i="1"/>
  <c r="AT20" i="1"/>
  <c r="AT21" i="1"/>
  <c r="BK12" i="1" l="1"/>
  <c r="L12" i="1"/>
  <c r="AC11" i="1"/>
  <c r="P12" i="1" l="1"/>
  <c r="AC13" i="1"/>
  <c r="AC19" i="1"/>
  <c r="AC20" i="1"/>
  <c r="AC21" i="1"/>
  <c r="AC15" i="1" l="1"/>
  <c r="AC18" i="1"/>
  <c r="AC26" i="1" l="1"/>
  <c r="AC23" i="1"/>
  <c r="AC25" i="1"/>
  <c r="AC27" i="1"/>
  <c r="L10" i="1" l="1"/>
  <c r="P10" i="1"/>
  <c r="L11" i="1" l="1"/>
  <c r="P11" i="1"/>
  <c r="L13" i="1" l="1"/>
  <c r="L15" i="1" s="1"/>
  <c r="P13" i="1"/>
  <c r="P15" i="1" l="1"/>
  <c r="L18" i="1" l="1"/>
  <c r="P18" i="1"/>
  <c r="L19" i="1" l="1"/>
  <c r="P19" i="1"/>
  <c r="L20" i="1" l="1"/>
  <c r="P20" i="1"/>
  <c r="L21" i="1" l="1"/>
  <c r="P21" i="1"/>
  <c r="P27" i="1" l="1"/>
  <c r="P25" i="1"/>
  <c r="L25" i="1"/>
  <c r="L27" i="1"/>
  <c r="L23" i="1"/>
  <c r="L26" i="1"/>
  <c r="P26" i="1"/>
  <c r="P23" i="1"/>
  <c r="G7" i="1" l="1"/>
  <c r="H7" i="1"/>
  <c r="AP7" i="1"/>
  <c r="AP10" i="1" a="1"/>
  <c r="AP11" i="1" a="1"/>
  <c r="AP12" i="1" a="1"/>
  <c r="AP13" i="1" a="1"/>
  <c r="AP18" i="1" a="1"/>
  <c r="AP19" i="1" a="1"/>
  <c r="AP20" i="1" a="1"/>
  <c r="AP21" i="1" a="1"/>
  <c r="AP21" i="1" l="1"/>
  <c r="AP20" i="1"/>
  <c r="AP19" i="1"/>
  <c r="AP18" i="1"/>
  <c r="AP13" i="1"/>
  <c r="AP12" i="1"/>
  <c r="AP11" i="1"/>
  <c r="AP10" i="1"/>
  <c r="BK11" i="1"/>
  <c r="BN7" i="1"/>
  <c r="BC7" i="1"/>
  <c r="AU7" i="1"/>
  <c r="CD7" i="1"/>
  <c r="BV7" i="1"/>
  <c r="BR7" i="1"/>
  <c r="AY7" i="1"/>
  <c r="AQ7" i="1"/>
  <c r="BZ7" i="1"/>
  <c r="BK10" i="1"/>
  <c r="BK21" i="1"/>
  <c r="BK20" i="1"/>
  <c r="BK19" i="1"/>
  <c r="BK13" i="1"/>
  <c r="M7" i="1"/>
  <c r="BV10" i="1" a="1"/>
  <c r="BV11" i="1" a="1"/>
  <c r="BV12" i="1" a="1"/>
  <c r="BV13" i="1" a="1"/>
  <c r="BV18" i="1" a="1"/>
  <c r="BV19" i="1" a="1"/>
  <c r="BV20" i="1" a="1"/>
  <c r="BV21" i="1" a="1"/>
  <c r="BR10" i="1"/>
  <c r="BR11" i="1"/>
  <c r="BR12" i="1"/>
  <c r="BR13" i="1"/>
  <c r="BR18" i="1"/>
  <c r="BR19" i="1"/>
  <c r="BR20" i="1"/>
  <c r="BR21" i="1"/>
  <c r="AY10" i="1" a="1"/>
  <c r="AY11" i="1" a="1"/>
  <c r="AY12" i="1" a="1"/>
  <c r="AY13" i="1" a="1"/>
  <c r="AY18" i="1" a="1"/>
  <c r="AY19" i="1" a="1"/>
  <c r="AY20" i="1" a="1"/>
  <c r="AY21" i="1" a="1"/>
  <c r="AQ10" i="1" a="1"/>
  <c r="AQ11" i="1" a="1"/>
  <c r="AQ12" i="1" a="1"/>
  <c r="AQ13" i="1" a="1"/>
  <c r="AQ18" i="1" a="1"/>
  <c r="AQ19" i="1" a="1"/>
  <c r="AQ20" i="1" a="1"/>
  <c r="AQ21" i="1" a="1"/>
  <c r="AU10" i="1" a="1"/>
  <c r="AU11" i="1" a="1"/>
  <c r="AU12" i="1" a="1"/>
  <c r="AU13" i="1" a="1"/>
  <c r="AU18" i="1" a="1"/>
  <c r="AU19" i="1" a="1"/>
  <c r="AU20" i="1" a="1"/>
  <c r="AU21" i="1" a="1"/>
  <c r="BC10" i="1" a="1"/>
  <c r="BC11" i="1" a="1"/>
  <c r="BC12" i="1" a="1"/>
  <c r="BC13" i="1" a="1"/>
  <c r="BC18" i="1" a="1"/>
  <c r="BC19" i="1" a="1"/>
  <c r="BC20" i="1" a="1"/>
  <c r="BC21" i="1" a="1"/>
  <c r="BC21" i="1" l="1"/>
  <c r="BC20" i="1"/>
  <c r="BC19" i="1"/>
  <c r="Y19" i="1" s="1"/>
  <c r="BC18" i="1"/>
  <c r="Y18" i="1" s="1"/>
  <c r="BC13" i="1"/>
  <c r="Y13" i="1" s="1"/>
  <c r="BC12" i="1"/>
  <c r="Y12" i="1" s="1"/>
  <c r="BC11" i="1"/>
  <c r="Y11" i="1" s="1"/>
  <c r="BC10" i="1"/>
  <c r="Y10" i="1" s="1"/>
  <c r="AU21" i="1"/>
  <c r="AD21" i="1" s="1"/>
  <c r="AU20" i="1"/>
  <c r="AD20" i="1" s="1"/>
  <c r="AU19" i="1"/>
  <c r="AD19" i="1" s="1"/>
  <c r="AU18" i="1"/>
  <c r="AD18" i="1" s="1"/>
  <c r="AU13" i="1"/>
  <c r="AD13" i="1" s="1"/>
  <c r="AU12" i="1"/>
  <c r="AU11" i="1"/>
  <c r="AD11" i="1" s="1"/>
  <c r="AU10" i="1"/>
  <c r="AD10" i="1" s="1"/>
  <c r="AQ21" i="1"/>
  <c r="N21" i="1" s="1"/>
  <c r="AQ20" i="1"/>
  <c r="N20" i="1" s="1"/>
  <c r="AQ19" i="1"/>
  <c r="N19" i="1" s="1"/>
  <c r="AQ18" i="1"/>
  <c r="T18" i="1" s="1"/>
  <c r="AQ13" i="1"/>
  <c r="N13" i="1" s="1"/>
  <c r="AQ12" i="1"/>
  <c r="AQ11" i="1"/>
  <c r="N11" i="1" s="1"/>
  <c r="AQ10" i="1"/>
  <c r="N10" i="1" s="1"/>
  <c r="AY21" i="1"/>
  <c r="V21" i="1" s="1"/>
  <c r="AY20" i="1"/>
  <c r="V20" i="1" s="1"/>
  <c r="AY19" i="1"/>
  <c r="V19" i="1" s="1"/>
  <c r="AY18" i="1"/>
  <c r="V18" i="1" s="1"/>
  <c r="AY13" i="1"/>
  <c r="V13" i="1" s="1"/>
  <c r="AY12" i="1"/>
  <c r="V12" i="1" s="1"/>
  <c r="AY11" i="1"/>
  <c r="V11" i="1" s="1"/>
  <c r="AY10" i="1"/>
  <c r="V10" i="1" s="1"/>
  <c r="AL21" i="1"/>
  <c r="AL20" i="1"/>
  <c r="AL19" i="1"/>
  <c r="AL13" i="1"/>
  <c r="AL12" i="1"/>
  <c r="CD12" i="1"/>
  <c r="BZ12" i="1" s="1"/>
  <c r="AL11" i="1"/>
  <c r="AL10" i="1"/>
  <c r="BV21" i="1"/>
  <c r="BV20" i="1"/>
  <c r="BV19" i="1"/>
  <c r="BV18" i="1"/>
  <c r="BV13" i="1"/>
  <c r="BV12" i="1"/>
  <c r="BV11" i="1"/>
  <c r="BV10" i="1"/>
  <c r="BN12" i="1"/>
  <c r="AH12" i="1" s="1"/>
  <c r="M12" i="1"/>
  <c r="AL18" i="1"/>
  <c r="Y20" i="1"/>
  <c r="Y21" i="1"/>
  <c r="BN11" i="1"/>
  <c r="AH11" i="1" s="1"/>
  <c r="M11" i="1"/>
  <c r="CD11" i="1"/>
  <c r="BZ11" i="1" s="1"/>
  <c r="BO7" i="1"/>
  <c r="BN19" i="1"/>
  <c r="AH19" i="1" s="1"/>
  <c r="BN13" i="1"/>
  <c r="AH13" i="1" s="1"/>
  <c r="BN18" i="1"/>
  <c r="AH18" i="1" s="1"/>
  <c r="CD18" i="1"/>
  <c r="BZ18" i="1" s="1"/>
  <c r="CD21" i="1"/>
  <c r="BZ21" i="1" s="1"/>
  <c r="BN21" i="1"/>
  <c r="AH21" i="1" s="1"/>
  <c r="BN10" i="1"/>
  <c r="AH10" i="1" s="1"/>
  <c r="BN20" i="1"/>
  <c r="AH20" i="1" s="1"/>
  <c r="N7" i="1"/>
  <c r="AI7" i="1" s="1"/>
  <c r="AR7" i="1"/>
  <c r="BW7" i="1"/>
  <c r="AV7" i="1"/>
  <c r="CE7" i="1"/>
  <c r="BD7" i="1"/>
  <c r="CA7" i="1"/>
  <c r="AZ7" i="1"/>
  <c r="BS7" i="1"/>
  <c r="M19" i="1"/>
  <c r="Y7" i="1"/>
  <c r="AB7" i="1"/>
  <c r="AH7" i="1"/>
  <c r="Q7" i="1"/>
  <c r="AE7" i="1"/>
  <c r="V7" i="1"/>
  <c r="CD20" i="1"/>
  <c r="BZ20" i="1" s="1"/>
  <c r="CD19" i="1"/>
  <c r="BZ19" i="1" s="1"/>
  <c r="M10" i="1"/>
  <c r="M20" i="1"/>
  <c r="M18" i="1"/>
  <c r="CD10" i="1"/>
  <c r="BZ10" i="1" s="1"/>
  <c r="BK18" i="1"/>
  <c r="CD13" i="1"/>
  <c r="BZ13" i="1" s="1"/>
  <c r="M13" i="1"/>
  <c r="M21" i="1"/>
  <c r="BS10" i="1"/>
  <c r="BS11" i="1"/>
  <c r="BS12" i="1"/>
  <c r="BS13" i="1"/>
  <c r="BS18" i="1"/>
  <c r="BS19" i="1"/>
  <c r="BS20" i="1"/>
  <c r="BS21" i="1"/>
  <c r="AR10" i="1" a="1"/>
  <c r="AR11" i="1" a="1"/>
  <c r="AR12" i="1" a="1"/>
  <c r="AR13" i="1" a="1"/>
  <c r="AR18" i="1" a="1"/>
  <c r="AR19" i="1" a="1"/>
  <c r="AR20" i="1" a="1"/>
  <c r="AR21" i="1" a="1"/>
  <c r="BW10" i="1" a="1"/>
  <c r="BW11" i="1" a="1"/>
  <c r="BW12" i="1" a="1"/>
  <c r="BW13" i="1" a="1"/>
  <c r="BW18" i="1" a="1"/>
  <c r="BW19" i="1" a="1"/>
  <c r="BW20" i="1" a="1"/>
  <c r="BW21" i="1" a="1"/>
  <c r="AZ10" i="1" a="1"/>
  <c r="AZ11" i="1" a="1"/>
  <c r="AZ12" i="1" a="1"/>
  <c r="AZ13" i="1" a="1"/>
  <c r="AZ18" i="1" a="1"/>
  <c r="AZ19" i="1" a="1"/>
  <c r="AZ20" i="1" a="1"/>
  <c r="AZ21" i="1" a="1"/>
  <c r="AV10" i="1" a="1"/>
  <c r="AV11" i="1" a="1"/>
  <c r="AV12" i="1" a="1"/>
  <c r="AV13" i="1" a="1"/>
  <c r="AV18" i="1" a="1"/>
  <c r="AV19" i="1" a="1"/>
  <c r="AV20" i="1" a="1"/>
  <c r="AV21" i="1" a="1"/>
  <c r="BD10" i="1" a="1"/>
  <c r="BD11" i="1" a="1"/>
  <c r="BD12" i="1" a="1"/>
  <c r="BD13" i="1" a="1"/>
  <c r="BD18" i="1" a="1"/>
  <c r="BD19" i="1" a="1"/>
  <c r="BD20" i="1" a="1"/>
  <c r="BD21" i="1" a="1"/>
  <c r="AL15" i="1" l="1"/>
  <c r="BD21" i="1"/>
  <c r="Z21" i="1" s="1"/>
  <c r="BD20" i="1"/>
  <c r="Z20" i="1" s="1"/>
  <c r="BD19" i="1"/>
  <c r="Z19" i="1" s="1"/>
  <c r="BD18" i="1"/>
  <c r="Z18" i="1" s="1"/>
  <c r="BD13" i="1"/>
  <c r="Z13" i="1" s="1"/>
  <c r="BD12" i="1"/>
  <c r="Z12" i="1" s="1"/>
  <c r="BD11" i="1"/>
  <c r="Z11" i="1" s="1"/>
  <c r="BD10" i="1"/>
  <c r="Z10" i="1" s="1"/>
  <c r="AV21" i="1"/>
  <c r="AE21" i="1" s="1"/>
  <c r="AV20" i="1"/>
  <c r="AV19" i="1"/>
  <c r="AE19" i="1" s="1"/>
  <c r="AV18" i="1"/>
  <c r="AE18" i="1" s="1"/>
  <c r="AV13" i="1"/>
  <c r="AE13" i="1" s="1"/>
  <c r="AV12" i="1"/>
  <c r="AV11" i="1"/>
  <c r="AE11" i="1" s="1"/>
  <c r="AV10" i="1"/>
  <c r="AE10" i="1" s="1"/>
  <c r="AZ21" i="1"/>
  <c r="W21" i="1" s="1"/>
  <c r="AZ20" i="1"/>
  <c r="W20" i="1" s="1"/>
  <c r="AZ19" i="1"/>
  <c r="W19" i="1" s="1"/>
  <c r="AZ18" i="1"/>
  <c r="W18" i="1" s="1"/>
  <c r="AZ13" i="1"/>
  <c r="W13" i="1" s="1"/>
  <c r="AZ12" i="1"/>
  <c r="W12" i="1" s="1"/>
  <c r="AZ11" i="1"/>
  <c r="W11" i="1" s="1"/>
  <c r="AZ10" i="1"/>
  <c r="W10" i="1" s="1"/>
  <c r="BW21" i="1"/>
  <c r="BW20" i="1"/>
  <c r="BW19" i="1"/>
  <c r="BW18" i="1"/>
  <c r="BW13" i="1"/>
  <c r="BW12" i="1"/>
  <c r="BW11" i="1"/>
  <c r="BW10" i="1"/>
  <c r="AR21" i="1"/>
  <c r="AR20" i="1"/>
  <c r="AR19" i="1"/>
  <c r="AR18" i="1"/>
  <c r="AR13" i="1"/>
  <c r="AR12" i="1"/>
  <c r="AR11" i="1"/>
  <c r="AB11" i="1" s="1"/>
  <c r="AR10" i="1"/>
  <c r="AB10" i="1" s="1"/>
  <c r="CE12" i="1"/>
  <c r="CA12" i="1" s="1"/>
  <c r="T12" i="1"/>
  <c r="BO12" i="1"/>
  <c r="AI12" i="1" s="1"/>
  <c r="N12" i="1"/>
  <c r="AD12" i="1"/>
  <c r="AD27" i="1" s="1"/>
  <c r="Q12" i="1"/>
  <c r="T21" i="1"/>
  <c r="M25" i="1"/>
  <c r="M27" i="1"/>
  <c r="AH15" i="1"/>
  <c r="AD23" i="1"/>
  <c r="AL27" i="1"/>
  <c r="AL23" i="1"/>
  <c r="AL26" i="1"/>
  <c r="AL25" i="1"/>
  <c r="AH27" i="1"/>
  <c r="AH25" i="1"/>
  <c r="AH26" i="1"/>
  <c r="AH23" i="1"/>
  <c r="Q11" i="1"/>
  <c r="Q10" i="1"/>
  <c r="T20" i="1"/>
  <c r="CE11" i="1"/>
  <c r="CA11" i="1" s="1"/>
  <c r="BO11" i="1"/>
  <c r="AI11" i="1" s="1"/>
  <c r="T11" i="1"/>
  <c r="Q18" i="1"/>
  <c r="T10" i="1"/>
  <c r="N18" i="1"/>
  <c r="T13" i="1"/>
  <c r="Q13" i="1"/>
  <c r="Q20" i="1"/>
  <c r="W7" i="1"/>
  <c r="BX7" i="1"/>
  <c r="CB7" i="1"/>
  <c r="BE7" i="1"/>
  <c r="O7" i="1"/>
  <c r="X7" i="1" s="1"/>
  <c r="AW7" i="1"/>
  <c r="Q21" i="1"/>
  <c r="BT7" i="1"/>
  <c r="CF7" i="1"/>
  <c r="T19" i="1"/>
  <c r="Q19" i="1"/>
  <c r="CE18" i="1"/>
  <c r="CA18" i="1" s="1"/>
  <c r="BO18" i="1"/>
  <c r="AI18" i="1" s="1"/>
  <c r="CE21" i="1"/>
  <c r="CA21" i="1" s="1"/>
  <c r="BO21" i="1"/>
  <c r="AI21" i="1" s="1"/>
  <c r="CE10" i="1"/>
  <c r="CA10" i="1" s="1"/>
  <c r="CE13" i="1"/>
  <c r="CA13" i="1" s="1"/>
  <c r="BO13" i="1"/>
  <c r="AI13" i="1" s="1"/>
  <c r="BO20" i="1"/>
  <c r="AI20" i="1" s="1"/>
  <c r="CE20" i="1"/>
  <c r="CA20" i="1" s="1"/>
  <c r="BO19" i="1"/>
  <c r="AI19" i="1" s="1"/>
  <c r="CE19" i="1"/>
  <c r="CA19" i="1" s="1"/>
  <c r="BO10" i="1"/>
  <c r="AI10" i="1" s="1"/>
  <c r="BA7" i="1"/>
  <c r="BP7" i="1"/>
  <c r="R7" i="1"/>
  <c r="AF7" i="1"/>
  <c r="AC7" i="1"/>
  <c r="Z7" i="1"/>
  <c r="M26" i="1"/>
  <c r="M23" i="1"/>
  <c r="M15" i="1"/>
  <c r="V15" i="1"/>
  <c r="V25" i="1"/>
  <c r="Y23" i="1"/>
  <c r="Y27" i="1"/>
  <c r="Y26" i="1"/>
  <c r="Y25" i="1"/>
  <c r="Y15" i="1"/>
  <c r="V23" i="1"/>
  <c r="V27" i="1"/>
  <c r="V26" i="1"/>
  <c r="BX10" i="1" a="1"/>
  <c r="BX11" i="1" a="1"/>
  <c r="BX12" i="1" a="1"/>
  <c r="BX13" i="1" a="1"/>
  <c r="BX18" i="1" a="1"/>
  <c r="BX19" i="1" a="1"/>
  <c r="BX20" i="1" a="1"/>
  <c r="BX21" i="1" a="1"/>
  <c r="AW10" i="1" a="1"/>
  <c r="AW11" i="1" a="1"/>
  <c r="AW12" i="1" a="1"/>
  <c r="AW13" i="1" a="1"/>
  <c r="AW18" i="1" a="1"/>
  <c r="AW19" i="1" a="1"/>
  <c r="AW20" i="1" a="1"/>
  <c r="AW21" i="1" a="1"/>
  <c r="BT10" i="1"/>
  <c r="BT11" i="1"/>
  <c r="BT12" i="1"/>
  <c r="BT13" i="1"/>
  <c r="BT18" i="1"/>
  <c r="BT19" i="1"/>
  <c r="BT20" i="1"/>
  <c r="BT21" i="1"/>
  <c r="BE10" i="1" a="1"/>
  <c r="BE11" i="1" a="1"/>
  <c r="BE12" i="1" a="1"/>
  <c r="BE13" i="1" a="1"/>
  <c r="BE18" i="1" a="1"/>
  <c r="BE19" i="1" a="1"/>
  <c r="BE20" i="1" a="1"/>
  <c r="BE21" i="1" a="1"/>
  <c r="BA10" i="1" a="1"/>
  <c r="BA11" i="1" a="1"/>
  <c r="BA12" i="1" a="1"/>
  <c r="BA13" i="1" a="1"/>
  <c r="BA18" i="1" a="1"/>
  <c r="BA19" i="1" a="1"/>
  <c r="BA20" i="1" a="1"/>
  <c r="BA21" i="1" a="1"/>
  <c r="AD26" i="1" l="1"/>
  <c r="N15" i="1"/>
  <c r="N27" i="1"/>
  <c r="BA21" i="1"/>
  <c r="X21" i="1" s="1"/>
  <c r="BA20" i="1"/>
  <c r="X20" i="1" s="1"/>
  <c r="BA19" i="1"/>
  <c r="X19" i="1" s="1"/>
  <c r="BA18" i="1"/>
  <c r="X18" i="1" s="1"/>
  <c r="BA13" i="1"/>
  <c r="X13" i="1" s="1"/>
  <c r="BA12" i="1"/>
  <c r="X12" i="1" s="1"/>
  <c r="BA11" i="1"/>
  <c r="X11" i="1" s="1"/>
  <c r="BA10" i="1"/>
  <c r="X10" i="1" s="1"/>
  <c r="BE21" i="1"/>
  <c r="AA21" i="1" s="1"/>
  <c r="BE20" i="1"/>
  <c r="AA20" i="1" s="1"/>
  <c r="BE19" i="1"/>
  <c r="AA19" i="1" s="1"/>
  <c r="BE18" i="1"/>
  <c r="AA18" i="1" s="1"/>
  <c r="BE13" i="1"/>
  <c r="AA13" i="1" s="1"/>
  <c r="BE12" i="1"/>
  <c r="AA12" i="1" s="1"/>
  <c r="BE11" i="1"/>
  <c r="AA11" i="1" s="1"/>
  <c r="BE10" i="1"/>
  <c r="AA10" i="1" s="1"/>
  <c r="CF12" i="1"/>
  <c r="CB12" i="1" s="1"/>
  <c r="AW21" i="1"/>
  <c r="AW20" i="1"/>
  <c r="AW19" i="1"/>
  <c r="AW18" i="1"/>
  <c r="AW13" i="1"/>
  <c r="AW12" i="1"/>
  <c r="AW11" i="1"/>
  <c r="AW10" i="1"/>
  <c r="BX21" i="1"/>
  <c r="BX20" i="1"/>
  <c r="BX19" i="1"/>
  <c r="BX18" i="1"/>
  <c r="BX13" i="1"/>
  <c r="BX12" i="1"/>
  <c r="BX11" i="1"/>
  <c r="BX10" i="1"/>
  <c r="AE12" i="1"/>
  <c r="R12" i="1"/>
  <c r="AD15" i="1"/>
  <c r="AB12" i="1"/>
  <c r="U12" i="1"/>
  <c r="BP12" i="1"/>
  <c r="O12" i="1"/>
  <c r="AD25" i="1"/>
  <c r="T27" i="1"/>
  <c r="Q27" i="1"/>
  <c r="N25" i="1"/>
  <c r="Q25" i="1"/>
  <c r="T26" i="1"/>
  <c r="T25" i="1"/>
  <c r="U10" i="1"/>
  <c r="O13" i="1"/>
  <c r="AB13" i="1"/>
  <c r="O21" i="1"/>
  <c r="AB21" i="1"/>
  <c r="R20" i="1"/>
  <c r="AE20" i="1"/>
  <c r="O19" i="1"/>
  <c r="AB19" i="1"/>
  <c r="AI15" i="1"/>
  <c r="O20" i="1"/>
  <c r="AB20" i="1"/>
  <c r="O18" i="1"/>
  <c r="AB18" i="1"/>
  <c r="AI23" i="1"/>
  <c r="AI25" i="1"/>
  <c r="AI27" i="1"/>
  <c r="AI26" i="1"/>
  <c r="Q15" i="1"/>
  <c r="U13" i="1"/>
  <c r="CF11" i="1"/>
  <c r="CB11" i="1" s="1"/>
  <c r="R11" i="1"/>
  <c r="N26" i="1"/>
  <c r="O11" i="1"/>
  <c r="U11" i="1"/>
  <c r="BP11" i="1"/>
  <c r="N23" i="1"/>
  <c r="O10" i="1"/>
  <c r="R13" i="1"/>
  <c r="T15" i="1"/>
  <c r="T23" i="1"/>
  <c r="W15" i="1"/>
  <c r="Z23" i="1"/>
  <c r="Z15" i="1"/>
  <c r="Q23" i="1"/>
  <c r="S7" i="1"/>
  <c r="AD7" i="1"/>
  <c r="AG7" i="1"/>
  <c r="AA7" i="1"/>
  <c r="U7" i="1" s="1"/>
  <c r="Q26" i="1"/>
  <c r="BP21" i="1"/>
  <c r="CF20" i="1"/>
  <c r="CB20" i="1" s="1"/>
  <c r="BP19" i="1"/>
  <c r="CF10" i="1"/>
  <c r="CB10" i="1" s="1"/>
  <c r="BP10" i="1"/>
  <c r="CF13" i="1"/>
  <c r="CB13" i="1" s="1"/>
  <c r="BP13" i="1"/>
  <c r="U20" i="1"/>
  <c r="BP20" i="1"/>
  <c r="T7" i="1"/>
  <c r="W23" i="1"/>
  <c r="W25" i="1"/>
  <c r="W27" i="1"/>
  <c r="W26" i="1"/>
  <c r="R19" i="1"/>
  <c r="CF19" i="1"/>
  <c r="CB19" i="1" s="1"/>
  <c r="Z25" i="1"/>
  <c r="Z26" i="1"/>
  <c r="R10" i="1"/>
  <c r="U18" i="1"/>
  <c r="Z27" i="1"/>
  <c r="U19" i="1"/>
  <c r="CF21" i="1"/>
  <c r="CB21" i="1" s="1"/>
  <c r="R18" i="1"/>
  <c r="R21" i="1"/>
  <c r="BP18" i="1"/>
  <c r="CF18" i="1"/>
  <c r="CB18" i="1" s="1"/>
  <c r="U21" i="1"/>
  <c r="AE15" i="1" l="1"/>
  <c r="AE26" i="1"/>
  <c r="AJ12" i="1"/>
  <c r="AK12" i="1"/>
  <c r="AF12" i="1"/>
  <c r="AG12" i="1"/>
  <c r="S12" i="1"/>
  <c r="AB15" i="1"/>
  <c r="U25" i="1"/>
  <c r="O23" i="1"/>
  <c r="O27" i="1"/>
  <c r="O25" i="1"/>
  <c r="R25" i="1"/>
  <c r="R27" i="1"/>
  <c r="U27" i="1"/>
  <c r="U26" i="1"/>
  <c r="AE25" i="1"/>
  <c r="AE23" i="1"/>
  <c r="AK19" i="1"/>
  <c r="AJ19" i="1"/>
  <c r="AK11" i="1"/>
  <c r="AJ11" i="1"/>
  <c r="AE27" i="1"/>
  <c r="AJ13" i="1"/>
  <c r="AK13" i="1"/>
  <c r="AG13" i="1"/>
  <c r="AF13" i="1"/>
  <c r="AG11" i="1"/>
  <c r="AF11" i="1"/>
  <c r="AF20" i="1"/>
  <c r="AG20" i="1"/>
  <c r="AK10" i="1"/>
  <c r="AJ10" i="1"/>
  <c r="AG10" i="1"/>
  <c r="AF10" i="1"/>
  <c r="AK21" i="1"/>
  <c r="AJ21" i="1"/>
  <c r="AG21" i="1"/>
  <c r="AF21" i="1"/>
  <c r="AK20" i="1"/>
  <c r="AJ20" i="1"/>
  <c r="S19" i="1"/>
  <c r="AG19" i="1"/>
  <c r="AF19" i="1"/>
  <c r="AG18" i="1"/>
  <c r="AF18" i="1"/>
  <c r="AK18" i="1"/>
  <c r="AJ18" i="1"/>
  <c r="AB26" i="1"/>
  <c r="AB23" i="1"/>
  <c r="AB25" i="1"/>
  <c r="AB27" i="1"/>
  <c r="U15" i="1"/>
  <c r="O15" i="1"/>
  <c r="S11" i="1"/>
  <c r="O26" i="1"/>
  <c r="R15" i="1"/>
  <c r="AA15" i="1"/>
  <c r="S20" i="1"/>
  <c r="S21" i="1"/>
  <c r="S13" i="1"/>
  <c r="AA23" i="1"/>
  <c r="S18" i="1"/>
  <c r="U23" i="1"/>
  <c r="R26" i="1"/>
  <c r="AA25" i="1"/>
  <c r="X23" i="1"/>
  <c r="S10" i="1"/>
  <c r="AA27" i="1"/>
  <c r="AA26" i="1"/>
  <c r="X27" i="1"/>
  <c r="X26" i="1"/>
  <c r="X15" i="1"/>
  <c r="X25" i="1"/>
  <c r="R23" i="1"/>
  <c r="S25" i="1" l="1"/>
  <c r="S27" i="1"/>
  <c r="AG15" i="1"/>
  <c r="AJ15" i="1"/>
  <c r="AK15" i="1"/>
  <c r="AF15" i="1"/>
  <c r="AK27" i="1"/>
  <c r="AK25" i="1"/>
  <c r="AK26" i="1"/>
  <c r="AK23" i="1"/>
  <c r="AJ27" i="1"/>
  <c r="AJ26" i="1"/>
  <c r="AJ23" i="1"/>
  <c r="AJ25" i="1"/>
  <c r="AF27" i="1"/>
  <c r="AF25" i="1"/>
  <c r="AF26" i="1"/>
  <c r="AF23" i="1"/>
  <c r="AG27" i="1"/>
  <c r="AG25" i="1"/>
  <c r="AG23" i="1"/>
  <c r="AG26" i="1"/>
  <c r="S15" i="1"/>
  <c r="S26" i="1"/>
  <c r="S23" i="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<sst xmlns="http://schemas.openxmlformats.org/spreadsheetml/2006/main" count="65" uniqueCount="58">
  <si>
    <t>Currency:</t>
  </si>
  <si>
    <t>USD</t>
  </si>
  <si>
    <t>EV/Revenue</t>
  </si>
  <si>
    <t>EV/EBITDA</t>
  </si>
  <si>
    <t>Min</t>
  </si>
  <si>
    <t>Max</t>
  </si>
  <si>
    <t>Price</t>
  </si>
  <si>
    <t>Native</t>
  </si>
  <si>
    <t>Market</t>
  </si>
  <si>
    <t>Enterprise</t>
  </si>
  <si>
    <t>EV / Revenue</t>
  </si>
  <si>
    <t>EV / EBITDA</t>
  </si>
  <si>
    <t>P / E</t>
  </si>
  <si>
    <t>Book</t>
  </si>
  <si>
    <t>Revenue</t>
  </si>
  <si>
    <t>EBITDA</t>
  </si>
  <si>
    <t>EPS</t>
  </si>
  <si>
    <t>Company</t>
  </si>
  <si>
    <t>Currency</t>
  </si>
  <si>
    <t>Cap</t>
  </si>
  <si>
    <t>Value</t>
  </si>
  <si>
    <t>Equity</t>
  </si>
  <si>
    <t>Debt</t>
  </si>
  <si>
    <t>Group Average</t>
  </si>
  <si>
    <t>Global Average</t>
  </si>
  <si>
    <t>EBITDA Margin</t>
  </si>
  <si>
    <t>Div.</t>
  </si>
  <si>
    <t>Yield</t>
  </si>
  <si>
    <t>Dividend</t>
  </si>
  <si>
    <t>Net Debt</t>
  </si>
  <si>
    <t>P / CF</t>
  </si>
  <si>
    <t>Gross Margin</t>
  </si>
  <si>
    <t>Rev. Growth</t>
  </si>
  <si>
    <t>Gross Profit</t>
  </si>
  <si>
    <t>Cash &amp; ST</t>
  </si>
  <si>
    <t>Investments</t>
  </si>
  <si>
    <t>Gross Margin (%)</t>
  </si>
  <si>
    <t>Gross Margin (%) - Number of Estimates</t>
  </si>
  <si>
    <t>Implied Gross Margin (%)</t>
  </si>
  <si>
    <t>Gross Profit - LIVE</t>
  </si>
  <si>
    <t>`</t>
  </si>
  <si>
    <t>Global Median</t>
  </si>
  <si>
    <t>Global Average (Excl. High / Low)</t>
  </si>
  <si>
    <t>Using $ Formula</t>
  </si>
  <si>
    <t>Using % Formula</t>
  </si>
  <si>
    <t>Net Debt / Adj. EBITDA</t>
  </si>
  <si>
    <t>Net Debt / Equity</t>
  </si>
  <si>
    <t>Book Value</t>
  </si>
  <si>
    <t>Market Cap</t>
  </si>
  <si>
    <t>CFPS</t>
  </si>
  <si>
    <t>$F$2</t>
  </si>
  <si>
    <t>Period:</t>
  </si>
  <si>
    <t>CY2025</t>
  </si>
  <si>
    <t>LTM</t>
  </si>
  <si>
    <t>Description</t>
  </si>
  <si>
    <t>Group 2</t>
  </si>
  <si>
    <t>Group 1</t>
  </si>
  <si>
    <t>允䅁䝁䅣䅁佂䅁䅁睔睂䡁䅑兡療䝁䄴督㙁䍁䅁睑ㅂ䡁䅉杣㥁䕁䅕兖卂䍁䅷䅉乂䝁䅅睚㥁䕁䄰兡獂䝁䅷兡療䝁䄴督獁䍁䅁杔䉂䑁䄰兌瑁䅁䅁䅐䅁䅁䅙䅁瑁䍁䄰䅁㉁䅁䅁杁䅁䅁䅁杒䅁䑁䅧䅁橁䕁䅫杔坂䕁䅅䅔䩂䕁䅑䅉䝂䙁䅕杔䑂䙁䅑兓偂䕁䄴䅉兂䕁䅅杕䉂䕁䄰兒啂䕁䅕杕䅁䅁䅑䅁煁䅁䅁杓兂䕁䄰睢祂䝁䅣兙畂䍁䅁睑潂䝁䅅督求䍁䅁杊杁䕁䅍睢畁䅁䅁杔䅁䕁䅯䅁䑂䙁䅫杍睁䑁䅉䅎ぁ䑁䅕李ㅁ䑁䅧睔睂䡁䅑兡療䝁䄴督㙁䕁䅍兤祂䡁䅉児噂䙁䅍䅒獁䍁䅁杔䉂䑁䄰杔噂䕁䅷䅔䅁䙁䅧䅁坁䅁䅁䅍㉁䍁䄸免睁䍁䄸杍睁䑁䅉兎䅁䅁䅕䅁奁䅁䅁䅋睁䑁䅅兌䭂䝁䅅杢瑁䑁䅉兎灁䅁䅁杂䅁䑁䅉䅁偂䡁䅁䅤灂䝁䄸杢穂䑁䅯䅉䑂䡁䅕杣祂䑁䄰兒噂䙁䅉䅌杁䕁䄴兑㥁䍁䄰兌䅁䑁䄸䅁捂䅁䅁杒剂䑁䅁䅎ㅁ䑁䅙兎㑁䕁䄸䅣あ䝁䅫睢畂䡁䅍杏䑂䡁䅕杣祂䑁䄰兖呂䕁䅑䅌杁䕁䄰兙湂䑁䄰兔灂䝁䅷䅢灂䝁䄸杢穂䍁䅷䅉佂䕁䅅児瑁䍁䄰䅁兂䅁䅁杙䅁䕁䅍兗祁䑁䅁杍ㅁ䑁䅑兎㉁䑁䅕䅏偂䡁䅁䅤灂䝁䄸杢穂䑁䅯睑ㅂ䡁䅉杣㥁䙁䅕睕䕂䍁䅷䅉乂䝁䅅睚㥁䕁䄰兡獂䝁䅷兡療䝁䄴督獁䍁䅁杔䉂䑁䄰兌瑁䅁䅁睔䅁䅁䅑䅁瑁䅁䅁䅎䅁䑁䅑䅁䑂䙁䅫杍睁䑁䅉李ぁ䑁䅕李ㅁ䑁䅧睔睂䡁䅑兡療䝁䄴督㙁䍁䅁杔䉂䑁䄰兌瑁䅁䅁䅖䅁䅁䅧䅁䑂䕁䅅䅒䅁䅁䅫䅁佁䅁䅁睑婂䑁䅉䅍祁䑁䅑䅁呁䅁䅁䅎䅁䕁䅍兗祁䑁䅁杍ぁ䑁䅑兎㉁䑁䅕䅏偂䡁䅁䅤灂䝁䄸杢穂䑁䅯䅉佂䕁䅅児瑁䍁䄰䅁卂䅁䅁杄䅁䕁䅍兗祁䑁䅁杍㉁䅁䅁兆䅁䝁䅉䅁䑂䙁䅫杍睁䑁䅉䅎ぁ䑁䅕李ㅁ䑁䅧睔睂䡁䅑兡療䝁䄴督㙁䕁䅍兤祂䡁䅉児噂䙁䅍䅒獁䍁䅁兔桂䝁䅣児乂䝁䅫䅢獂䝁䅫睢畂䡁䅍䅌杁䕁䄴兑㥁䍁䄰兌䅁䙁䅅䅁浂䅁䅁睑婂䑁䅉䅍祁䑁䅑䅎ㅁ䑁䅙兎㑁䕁䄸䅣あ䝁䅫睢畂䡁䅍杏䑂䡁䅕杣祂䑁䄰兖呂䕁䅑䅌杁䕁䄰兙湂䑁䄰兔灂䝁䅷䅢灂䝁䄸杢穂䍁䅷䅉佂䕁䅅児佂䙁䅕䅔䵂䅁䅁兖䅁䕁䅙䅁䑂䙁䅫杍睁䑁䅉䅎ぁ䑁䅕李ㅁ䑁䅧睔睂䡁䅑兡療䝁䄴督㙁䕁䅍兤祂䡁䅉児噂䙁䅍䅒獁䍁䅁杔䉂䑁䄰兌瑁䅁䅁䅘䅁䅁䅧䅁䝂䙁䅅䅍䅁䅁䄸䅁䭂䅁䅁睔睂䡁䅑兡療䝁䄴督㙁䕁䅍兤祂䡁䅉児卂䝁䅕䅣療䡁䅉䅤求䝁䅑䅉䑂䡁䅕杣祂䝁䅕杢橂䡁䅫䅌佂䕁䅅児瑁䍁䄰䅁㙁䅁䅁杄䅁䕁䅍兗祁䑁䅁杍ㅁ䅁䅁䅆䅁䙁䅑䅁䱂䝁䄴兡湂䝁䅧䅤瑁䙁䅍睤灂䝁䅙䅤杁䙁䅑杣桂䝁䄴督睂䝁䄸杣あ䝁䅅䅤灂䝁䄸杢杁䕁䅧睢獂䝁䅑兡畂䝁䅣督杁䕁䅫杢橂䍁䄴䅁潁䅁䅁䅎䅁䕁䅍兗祁䑁䅁杍ㅁ䑁䅑兎㉁䑁䅕䅏偂䡁䅁䅤灂䝁䄸杢穂䑁䅯䅉佂䕁䅅児瑁䍁䄰䅁呂䅁䅁杚䅁䕁䅍兗祁䑁䅁杍ㅁ䑁䅑兎㉁䑁䅕䅏偂䡁䅁䅤灂䝁䄸杢穂䑁䅯睑ㅂ䡁䅉杣㥁䙁䅕睕䕂䍁䅷䅉乂䝁䅅睚㥁䕁䄰兡獂䝁䅷兡療䝁䄴督獁䍁䅁杔䉂䑁䄰杔噂䕁䅷䅔䅁䙁䅙䅁䭂䅁䅁睑婂䑁䅉䅍祁䑁䅕䅎ㅁ䑁䅙兎㑁䕁䄸䅣あ䝁䅫睢畂䡁䅍杏䑂䡁䅕杣祂䑁䄰兖呂䕁䅑䅌杁䕁䄴兑㥁䕁䄴兖䵂䕁䅷䅁婂䅁䅁杈䅁䕁䄴兑呂䕁䅑兑剂䕁䅣睕㙁䕁䄰杕啂䕁䄴䅉䅁䍁䄰䅁楂䅁䅁睑婂䑁䅉䅍祁䑁䅙䅎ㅁ䑁䅙兎㑁䕁䄸䅣あ䝁䅫睢畂䡁䅍杏䑂䡁䅕杣祂䑁䄰兖呂䕁䅑䅌杁䕁䄰兙湂䑁䄰兔灂䝁䅷䅢灂䝁䄸杢穂䍁䅷䅉佂䕁䅅児瑁䍁䄰䅁扂䅁䅁杅䅁䕁䄴兗呂䕁䅕杏䩂䕁䅉兔䅁䕁䅣䅁佁䅁䅁睑婂䑁䅉䅍祁䑁䅣䅁桂䅁䅁杚䅁䕁䅍兗祁䑁䅁杍㉁䑁䅑兎㉁䑁䅕䅏偂䡁䅁䅤灂䝁䄸杢穂䑁䅯睑ㅂ䡁䅉杣㥁䙁䅕睕䕂䍁䅷䅉乂䝁䅅睚㥁䕁䄰兡獂䝁䅷兡療䝁䄴督獁䍁䅁杔䉂䑁䄰杔噂䕁䅷䅔䅁䙁䅣䅁䭂䅁䅁睑婂䑁䅉䅍祁䑁䅙䅎ㅁ䑁䅙兎㑁䕁䄸䅣あ䝁䅫睢畂䡁䅍杏䑂䡁䅕杣祂䑁䄰兖呂䕁䅑䅌杁䕁䄴兑㥁䕁䄴兖䵂䕁䅷䅁慂䅁䅁䅍䅁䕁䅧党桂䡁䅉䅤獂䝁䅅杢歂䍁䅁兒㑂䡁䅁杣求䡁䅍督獁䍁䅁兓畂䝁䅍杌䅁䍁䅷䅁䥁䅁䅁兓䍂䕁䄰䅁䩂䅁䅁杈䅁䕁䄸䅣あ䝁䅫睢畂䡁䅍杏杁䕁䄴兑㥁䕁䄴兑䅁䅁䅍䅁捁䅁䅁兓剂䙁䄸睑䉂䙁䅍䅓時䕁䅕兕噂䕁䅫杖䅁䑁䄰䅁捁䅁䅁杔䉂䙁䅍䅒䉂䙁䅅睒呂䑁䅯䅓啂䕁䅷䅒䅁䍁䅳䅁歁䅁䅁兓剂䙁䄸睑䉂䙁䅍䅓時䙁䅍䅖時䕁䅫杔坂䕁䅕睕啂䅁䅁充䅁䅁䄴䅁䩂䙁䅅睘啂䕁䅕杖䅁䅁䅷䅁佂䅁䅁睔睂䡁䅑兡療䝁䄴督㙁䍁䅁睑ㅂ䡁䅉杣㥁䙁䅕睕䕂䍁䅷䅉乂䝁䅅睚㥁䕁䄰兡獂䝁䅷兡療䝁䄴督獁䍁䅁杔䉂䑁䄰兌瑁䅁䅁䅏䅁䉁䅷䅁偂䡁䅁䅤灂䝁䄸杢穂䑁䅯䅉佂䕁䅅児瑁䅁䅁睍䅁䙁䅁䅁偂䡁䅁䅤灂䝁䄸杢穂䑁䅯䅉䑂䡁䅕杣祂䑁䄰兖呂䕁䅑䅌杁䕁䄰兙湂䑁䄰䅖潂䝁䄸兤穂䝁䅅杢歂䡁䅍䅌杁䕁䄴兑㥁䕁䄴兑䅁䉁䄰䅁捁䅁䅁兓剂䙁䄸䅖偂䙁䅑兑䵂䙁䄸䅒䙂䕁䅉䅖䅁䙁䄴䅁杁䅁䅁兓剂䙁䄸䅖偂䙁䅑兑䵂䙁䄸兒剂䙁䅕兓啂䙁䅫䅁摂䅁䅁䅗䅁䕁䅫杢あ䝁䅕杣畂䝁䅅䅤灂䝁䄸杢桂䝁䅷䅉䍂䡁䅕督灂䝁䄴党穂䡁䅍䅉乂䝁䅅睙潂䝁䅫杢求䡁䅍䅉䑂䝁䄸杣睂䝁䄸杣桂䡁䅑兡療䝁䄴䅁䭂䅁䅁杒䅁䕁䅯杌䍂䍁䄴䅉䥂䡁䅕杢あ䍁䅁䅖祂䝁䅅杢穂䡁䅁睢祂䡁䅑䅉呂䝁䅕杣㉂䝁䅫睙求䡁䅍䅌杁䕁䅫杢橂䍁䄴䅁楁䅁䅁杂䅁䕁䄴兑䅁䉁䅣䅁䥁䅁䅁杓兂䕁䄰䅁乂䅁䅁杌䅁䕁䄰兙祂䡁䅑党畂䍁䅁䅖祂䝁䅅杢穂䡁䅁睢祂䡁䅑䅌杁䕁䅷䅤歂䍁䄴䅁畁䅁䅁䅊䅁䕁䄰兤獂䝁䅷党畂䍁䅁睒祂䝁䄸兤睂䍁䅁䅔あ䝁䅑杌䅁䍁䅁䅁兂䅁䅁睔睂䡁䅑兡療䝁䄴督㙁䍁䅁睑ㅂ䡁䅉杣㥁䙁䅕睕䕂䍁䅷䅉乂䝁䅅睚㥁䙁䅑䅡療䡁䅕督桂䝁䄴䅚穂䍁䅷䅉佂䕁䅅児瑁䍁䄰䅁㝁䅁䅁杈䅁䕁䄴兑呂䕁䅑兑剂䕁䅣睕㙁䕁䅯村䥂䙁䅑䅉䅁䍁䅅䅁允䅁䅁䅖呂䙁䅧杏乂䙁䅑䅔䅁䉁䄸䅁啁䅁䅁杔婂䙁䅍兒㙁䙁䅍杔䕂䙁䅉䅁橁䅁䅁杈䅁䕁䄸䅣あ䝁䅫睢畂䡁䅍杏杁䕁䄴兑㥁䍁䄰兌䅁䑁䅕䅁捁䅁䅁杔䉂䙁䅍䅒䉂䙁䅅睒呂䑁䅯睖䙂䙁䅉杔䅁䍁䅫䅁䭁䅁䅁杔噂䕁䅷䅔䅁䕁䅍䅁啁䅁䅁杔婂䙁䅍兒㙁䕁䅳杔奂䍁䅁䅁湁䅁䅁杅䅁䕁䄴兗呂䕁䅕杏奂䙁䅁睔䅁䍁䅕䅁佂䅁䅁睔睂䡁䅑兡療䝁䄴督㙁䍁䅁䅉䑂䡁䅕杣祂䑁䄰杕求䡁䅁睢祂䡁䅑党歂䍁䅁睑ㅂ䡁䅉杣求䝁䄴睙㕂䍁䅷杔䉂䑁䄰杔䉂䅁䅁睌䅁䑁䅉䅁偂䡁䅁䅤灂䝁䄸杢穂䑁䅯䅉䑂䡁䅕杣祂䑁䄰兒噂䙁䅉䅌杁䕁䄴兑㥁䕁䄴兑䅁䉁䅳䅁佂䅁䅁睔睂䡁䅑兡療䝁䄴督㙁䍁䅁睑ㅂ䡁䅉杣㥁䙁䅕睕䕂䍁䅷䅉乂䝁䅅睚㥁䕁䄰兡獂䝁䅷兡療䝁䄴督獁䍁䅁杔䉂䑁䄰杔䉂䅁䅁睃䅁䑁䅉䅁偂䡁䅁䅤灂䝁䄸杢穂䑁䅯䅉䑂䡁䅕杣祂䑁䄰兖呂䕁䅑䅌杁䕁䄴兑㥁䍁䄰兌䅁䑁䅣䅁祁䅁䅁睔睂䡁䅑兡療䝁䄴督㙁䍁䅁睑ㅂ䡁䅉杣㥁䙁䅕睕䕂䍁䅷䅉佂䕁䅅児佂䕁䅅䅁䡁䅁䅁杉䅁䕁䄸䅣あ䝁䅫睢畂䡁䅍杏杁䕁䄴兑㥁䕁䄴兖䵂䕁䅷䅁䙂䅁䅁杉䅁䕁䄸䅣あ䝁䅫睢畂䡁䅍杏杁䕁䄴兑㥁䕁䄴兤獂䝁䅷䅁㕁䅁䅁杌䅁䕁䄸䅣あ䝁䅫睢畂䡁䅍杏䑂䡁䅕杣祂䑁䄰睑䉂䕁䅑䅌佂䕁䅅児瑁䍁䄰䅁䱂䅁䅁杓䅁䕁䄸䅣あ䝁䅫睢畂䡁䅍杏䑂䡁䅕杣祂䑁䄰杕求䡁䅁睢祂䡁䅑党歂䍁䅁睑ㅂ䡁䅉杣求䝁䄴睙㕂䍁䅷杔䉂䑁䄰杔䉂䅁䅁免䅁䕁䅷䅁偂䡁䅁䅤灂䝁䄸杢穂䑁䅯睑ㅂ䡁䅉杣㥁䙁䅕睕䕂䍁䅷䅉乂䝁䅅睚㥁䕁䄰兡獂䝁䅷兡療䝁䄴督獁䍁䅁杔䉂䑁䄰兌瑁䅁䅁䅑䅁䙁䅁䅁偂䡁䅁䅤灂䝁䄸杢穂䑁䅯睑ㅂ䡁䅉杣㥁䙁䅕睕䕂䍁䅷䅉乂䝁䅅睚㥁䕁䄰兡獂䝁䅷兡療䝁䄴督獁䍁䅁杔䉂䑁䄰杔噂䍁䄰兌䅁䕁䅧䅁兂䅁䅁睔睂䡁䅑兡療䝁䄴督㙁䕁䅍兤祂䡁䅉児噂䙁䅍䅒獁䍁䅁兔桂䝁䅣児乂䝁䅫䅢獂䝁䅫睢畂䡁䅍䅌杁䕁䄴兑㥁䕁䄴兖䵂䕁䅷䅁䕂䅁䅁䅍䅁䕁䄸䅣あ䝁䅫睢畂䡁䅍杏䑂䡁䅕杣祂䑁䄰兖呂䕁䅑䅌杁䕁䄴兑㥁䍁䄰兌䅁䕁䅅䅁ぁ䅁䅁睔睂䡁䅑兡療䝁䄴督㙁䕁䅍兤祂䡁䅉児噂䙁䅍䅒獁䍁䅁杔䉂䑁䄰杔噂䕁䅷䅔䅁䕁䅉䅁畁䅁䅁睔睂䡁䅑兡療䝁䄴督㙁䕁䅍兤祂䡁䅉児噂䙁䅍䅒獁䕁䄴兑㥁䍁䄰兌䅁䕁䅷䅁捁䅁䅁睔睂䡁䅑兡療䝁䄴督㙁䕁䄴兑㥁䕁䄴兑䅁䑁䅁䅁捁䅁䅁睕兂䙁䄸睑䉂䙁䅍䅓時䕁䅕兕噂䕁䅫杖䅁䑁䄴䅁奁䅁䅁睕兂䙁䄸睑䝂䙁䅁睕時䕁䅕睕啂䅁䅁䅈䅁䍁䅁䅁呂䙁䅁睘䑂䕁䄸兔兂䕁䅅杔婂䙁䄸杔䉂䕁䄰兒䅁䅁䅁䅁慁䅁䅁睕兂䙁䄸䅒䩂䙁䅙睘婂䕁䅫兒䵂䕁䅑䅁乁䅁䅁䅈䅁䙁䅍䅕時䕁䅕村䩂䙁䅑䅒䉂䙁䄸兒呂䙁䅑䅁婁䅁䅁杆䅁䙁䅍䅕時䕁䅕䅕呂䙁䄸兒呂䙁䅑䅁慁䅁䅁䅋䅁䙁䅍䅕時䕁䅣杕偂䙁䅍睕時䕁䄰兑卂䕁䅣兓佂䙁䄸兒呂䙁䅑䅁坁䅁䅁䅍䅁䙁䅍䅕時䕁䅣杕偂䙁䅍睕時䕁䄰兑卂䕁䅣兓佂䙁䄸杔噂䕁䄰睘䙂䙁䅍䅖䅁䉁䅧䅁楁䅁䅁睕兂䙁䄸䅔䉂䙁䅍䅖呂䕁䅅䅔䙂䙁䅁杕䩂䕁䅍兒䅁䅁䅉䅁慁䅁䅁睕兂䙁䄸兔䉂䙁䅉睓䙂䙁䅑睑䉂䙁䅁䅁䭁䅁䅁杈䅁䙁䅍䅕時䙁䅁杕䩂䕁䅍兒時䕁䅍䅔偂䙁䅍兒䅁䙁䄸䅁坁䅁䅁睕兂䙁䄸杕䙂䙁䅙睘䙂䙁䅍䅖䅁䉁䅉䅁捁䅁䅁睕兂䙁䄸䅖偂䙁䅑兑䵂䙁䄸䅒䙂䕁䅉䅖䅁䉁䅁䅁杁䅁䅁睕兂䙁䄸䅖偂䙁䅑兑䵂䙁䄸兒剂䙁䅕兓啂䙁䅫䅁佁䅁䅁䅋䅁䙁䅍䅕時䙁䅑杕䉂䕁䅑兓佂䕁䅣睘䑂䙁䅕杕卂䕁䅕杔䑂䙁䅫䅁䥁䅁䅁杍䅁䙁䅍睙潂䝁䄴党灂䝁䅑党祂䍁䅁杔桂䡁䅑兡療䝁䄴兙獂䍁䅷䅉䩂䝁䄴睙畁䅁䅁䅊䅁䍁䄴䅁啂䕁䅙兓杁䕁䅫杢あ䝁䅕杣畂䝁䅅䅤灂䝁䄸杢桂䝁䅷䅉䩂䝁䄴睙畁䅁䅁允䅁䉁䅉䅁啂䙁䅍䅗㙁䙁䅑杒䩂䕁䅫䅁敁䅁䅁䅃䅁䙁䅕睕䕂䅁䅁杍䅁䑁䅉䅁塂䝁䅕杣畂䝁䅕杣杁䕁䅕杢あ䝁䅕杣睂䡁䅉兡穂䝁䅕督獁䍁䅁兓畂䝁䅍杌䅁䍁䅯䅁啁䅁䅁䅗兂䕁䄸䅌杁䕁䅫杢橂䍁䄴䅁流䅁䅁杄䅁䝁䅍入祁䑁䅁杍ㅁ䅁䅁䅙䅁䅁䄴䅁䩂䙁䅅睘卂䕁䅕杖䅁䝁䅉䅁䥁䅁䅁䅔啂䕁䄰䅁橂䅁䅁䅆䅁䙁䅍䅕時䕁䅕村䩂䙁䅑䅒䉂䅁䅁䅚䅁䉁䅉䅁啂䙁䅍䅗㙁䕁䄸䅖䙂䙁䅧䅁求䅁䅁䅌䅁䕁䄸䅣求䝁䄴䅉啂䝁䅕䅥あ䍁䅁睑療䡁䅉䅣療䡁䅉兙あ䝁䅫睢畂䅁䅁杚䅁䉁䄴䅁䵁䅉䅅䅁䝁䅁䅁睁䵁䅁䅁权求䅁䅁权十䅁䅁权桂䅁䅁兂䅁䅁䅁䥙浌䅑䅯䅑䅁䅁䅅䅁䉁䅁䅁兂㉁穱堵㝃か䅑杷允䅁䅁䅙䅁䑁䅁䅷䅁䭁䝁䅕䅁䭁䙁䄰䅁䭁䅁䄸䅁䙁䅁䅁䅁杂畧䅚权䅂䅁䅁允䅁䅁䅅䅁䙁䕁ㅁ牘䩲煭䄹䍄䉁䅁䅁杂䅁䅁䅍䅄䅁䅁䅯党䅁䅁䅯杆䅁䅁䅯兙䅁䅁䅕䅁䅁䝁䍃欵䭁䑁䅕䅁䉁䅁䅁允䅁䅁䅯李䅁䅁杷允䅁䅁䅙䅁䑁䅁䅷䅁䭁䝁䅕䅁䭁䉁䅯䅁䭁䉁䅑䅁䙁䅁䅁䅁杂畧䅚权䉂䅁䅁允䅁䅁䅅䅁䙁䙁⬳⽑瑲眶䄵䍄䉁䅁䅁杂䅁䅁䅍䅄䅁䅁䅯党䅁䅁䅯杇䅁䅁䅯兙䅁䅁䅕䅁䅁䝁䍃欵䭁䕁䅅䅁䉁䅁䅁允䅁䅁䅕呴㑦海煒歅䵁䅉䅅䅁䝁䅁䅁睁䵁䅁䅁权求䅁䅁权捁䅁䅁权噁䅁䅁兂䅁䅁䅁䥙浌䅑䅯兑䅁䅁䅅䅁䉁䅁䅁兂乄䵺䵺䵺剷䅑杷允䅁䅁䅕䅁䑁䅁䅷䅁䭁䝁䅕䅁䭁䅁䄰䅁䙁䅁䅁䅁杂畧䅚权ㅁ䅁䅁允䅁䅁䅅䅁䙁佁䱚㕺䩺硊䅎䍄䉁䅁䅁杂䅁䅁䅍䅄䅁䅁䅯党䅁䅁䅯杆䅁䅁䅯兆䅁䅁䅕䅁䅁䝁䍃欵䭁䑁䅕䅁䉁䅁䅁允䅁䅁䅯李䅁䅁杷允䅁䅁䅑䅁䑁䅁䅷䅁䭁䝁䅕䅁䭁䅁䅧䅁䭁䑁䅕䅁䉁䅁䅁允䅁䅁䅯元䅁䅁杷允䅁䅁䅕䅁䑁䅁䅷䅁䭁䝁䅕䅁䭁䅁䅷䅁䙁䅁䅁䅁杂畧䅚权䅂䅁䅁允䅁䅁䅅䅁䙁䝁浍单欯䵫䅖䍄䉁䅁䅁杂䅁䅁䅍䅄䅁䅁䅯党䅁䅁䅯兇䅁䅁䅯兆䅁䅁䅕䅁䅁䝁䍃欵䭁䕁䅁䅁䉁䅁䅁允䅁䅁䅕⭙愵牑椷䕮䵁䅉䅅䅁䙁䅁䅁睁䵁䅁䅁权求䅁䅁权時䅁䅁兂䅁䅁䅁䥙浌䅑䅯兑䅁䅁䅅䅁䉁䅁䅁兂灄爳㝢䅒㍅䅑杷允䅁䅁䅙䅁䑁䅁䅷䅁䭁䝁䅕䅁䭁䉁䅷䅁䭁䉁䅑䅁䙁䅁䅁䅁杂畧䅚权䉂䅁䅁允䅁䅁䅅䅁䙁偁橆䙺䰱䅓䅸䍄䉁䅁䅁兂䅁䅁䅍䅄䅁䅁䅯党䅁䅁䅯权䅁䅁䅕䅁䅁䝁䍃欵䭁䕁䅁䅁䉁䅁䅁允䅁䅁䅕楩楊煕婚歴䵁䅉䅅䅁䙁䅁䅁睁䵁䅁䅁权求䅁䅁权䍁䅁䅁兂䅁䅁䅁䥙浌䅑䅯睓䅁䅁䅅䅁䉁䅁䅁兂䅁䅁䅁䥁⽁䅑杷允䅁䅁䅙䅁䑁䅁䅷䅁䭁䝁䅕䅁䭁䙁䄴䅁䭁䅁䄸䅁䙁䅁䅁䅁杂畧䅚权䅂䅁䅁允䅁䅁䅅䅁䙁䩁契䙂佢牷䅬䍄䉁䅁䅁杂䅁䅁䅍䅄䅁䅁䅯党䅁䅁䅯充䅁䅁䅯睄䅁䅁䅕䅁䅁䝁䍃欵䭁䕁䅁䅁䉁䅁䅁允䅁䅁䅕䭃捷畗硔に䵁䅉䅅䅁䝁䅁䅁睁䵁䅁䅁权求䅁䅁权婁䅁䅁权桂䅁䅁兂䅁䅁䅁䥙浌䅑䅯䅑䅁䅁䅅䅁䉁䅁䅁兂啃䅇坒歔敃䅑杷允䅁䅁䅙䅁䑁䅁䅷䅁䭁䝁䅕䅁䭁䝁䅉䅁䭁䝁䅍䅁䙁䅁䅁䅁杂畧䅚权䅂䅁䅁允䅁䅁䅅䅁䙁䑁䩥坑䙄㝏䅒䍄䉁䅁䅁杂䅁䅁䅍䅄䅁䅁䅯党䅁䅁䅯杅䅁䅁䅯䅆䅁䅁䅕䅁䅁䝁䍃欵䭁䕁䅁䅁䉁䅁䅁允䅁䅁䅕報灪湊啅䕴䵁䅉䅅䅁䝁䅁䅁睁䵁䅁䅁权求䅁䅁权十䅁䅁权噁䅁䅁兂䅁䅁䅁䥙浌䅑䅯䅑䅁䅁䅅䅁䉁䅁䅁兂坃杳硸䙄〲䅑杷允䅁䅁䅙䅁䑁䅁䅷䅁䭁䝁䅕䅁䭁䝁䅑䅁䭁䝁䅍䅁䙁䅁䅁䅁杂畧䅚权䅂䅁䅁允䅁䅁䅅䅁䙁䱁䥔牤昶㕴䅤䍄䉁䅁䅁杂䅁䅁䅍䅄䅁䅁䅯党䅁䅁䅯兇䅁䅁䅯䅆䅁䅁䅕䅁䅁䝁䍃欵䭁䕁䅁䅁䉁䅁䅁允䅁䅁䅕娳䡏摨摱ね䵁䅉䅅䅁䝁䅁䅁睁䵁䅁䅁权求䅁䅁权坁䅁䅁权啁䅁䅁兂䅁䅁䅁䥙浌䅑䅯兎䅁䅁䅅䅁䉁䅁䅁权㉁䅁䅁䍄䉁䅁䅁杂䅁䅁䅍䅄䅁䅁䅯党䅁䅁䅯䅇䅁䅁䅯䅆䅁䅁䅕䅁䅁䝁䍃欵䭁䑁䅕䅁䉁䅁䅁允䅁䅁䅯李䅁䅁杷允䅁䅁䅙䅁䑁䅁䅷䅁䭁䝁䅕䅁䭁䉁䅧䅁䭁䝁䅅䅁䙁䅁䅁䅁杂畧䅚权ㅁ䅁䅁允䅁䅁䅅䅁䭁䑁䅙䅁䵁䅉䅅䅁䝁䅁䅁睁䵁䅁䅁权求䅁䅁权奁䅁䅁权噁䅁䅁兂䅁䅁䅁䥙浌䅑䅯兎䅁䅁䅅䅁䉁䅁䅁权㉁䅁䅁䍄䉁䅁䅁杂䅁䅁䅍䅄䅁䅁䅯党䅁䅁䅯杇䅁䅁䅯兆䅁䅁䅕䅁䅁䝁䍃欵䭁䕁䅅䅁䉁䅁䅁允䅁䅁䅕ㅧ䩆奮浃䕅䵁䅉䅅䅁䝁䅁䅁睁䵁䅁䅁权求䅁䅁权捁䅁䅁权桂䅁䅁兂䅁䅁䅁䥙浌䅑䅯兑䅁䅁䅅䅁䉁䅁䅁权㉁䅁䅁䍄䉁䅁䅁睁䅁䅁䅍䅄䅁䅁䅯党䅁䅁䅯䅁䅁䅁䅅䅁䉁䅁䅁权浂䅁䅁</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</si>
</sst>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164" formatCode="mmm\.\ d\,\ yyyy"/>
    <numFmt numFmtId="165" formatCode="0.0\x_);\(0.0\x\);&quot;-- &quot;"/>
    <numFmt numFmtId="166" formatCode="&quot;$&quot;#,##0.00_);\(&quot;$&quot;#,##0.00\);&quot;-- &quot;"/>
    <numFmt numFmtId="167" formatCode="&quot;$&quot;#,##0_);\(&quot;$&quot;#,##0\);&quot;-- &quot;"/>
    <numFmt numFmtId="168" formatCode="0.0%_);\(0.0%\);&quot;-- &quot;"/>
    <numFmt numFmtId="169" formatCode="&quot;$&quot;#,##0.0_);\(&quot;$&quot;#,##0.0\);&quot;-- &quot;"/>
    <numFmt numFmtId="170" formatCode="#,##0.0%_);\(#,##0.0%\);&quot;--&quot;"/>
    <numFmt numFmtId="171" formatCode="#,##0_);\(#,##0\);&quot;--&quot;"/>
    <numFmt numFmtId="172" formatCode="#,##0.0_);\(#,##0.0\);&quot;--&quot;"/>
  </numFmts>
  <fonts count="22" x14ac:knownFonts="1">
    <font>
      <sz val="11"/>
      <color theme="1"/>
      <name val="Calibri"/>
      <family val="2"/>
      <scheme val="minor"/>
    </font>
    <font>
      <sz val="11"/>
      <color theme="1"/>
      <name val="Calibri"/>
      <family val="2"/>
      <scheme val="minor"/>
    </font>
    <font>
      <sz val="9"/>
      <color theme="1"/>
      <name val="Arial"/>
      <family val="2"/>
    </font>
    <font>
      <sz val="9"/>
      <color rgb="FF0000FF"/>
      <name val="Palatino Linotype"/>
      <family val="1"/>
    </font>
    <font>
      <sz val="9"/>
      <color theme="1"/>
      <name val="Palatino Linotype"/>
      <family val="1"/>
    </font>
    <font>
      <b/>
      <i/>
      <sz val="9"/>
      <color theme="0"/>
      <name val="Palatino Linotype"/>
      <family val="1"/>
    </font>
    <font>
      <sz val="9"/>
      <color theme="0"/>
      <name val="Palatino Linotype"/>
      <family val="1"/>
    </font>
    <font>
      <b/>
      <sz val="9"/>
      <color theme="0"/>
      <name val="Palatino Linotype"/>
      <family val="1"/>
    </font>
    <font>
      <b/>
      <u val="singleAccounting"/>
      <sz val="9"/>
      <color theme="0"/>
      <name val="Palatino Linotype"/>
      <family val="1"/>
    </font>
    <font>
      <b/>
      <u/>
      <sz val="9"/>
      <color theme="1"/>
      <name val="Palatino Linotype"/>
      <family val="1"/>
    </font>
    <font>
      <sz val="11"/>
      <color theme="1"/>
      <name val="Palatino Linotype"/>
      <family val="2"/>
    </font>
    <font>
      <sz val="9"/>
      <color rgb="FF000000"/>
      <name val="Palatino Linotype"/>
      <family val="1"/>
    </font>
    <font>
      <sz val="9"/>
      <color rgb="FF800080"/>
      <name val="Palatino Linotype"/>
      <family val="1"/>
    </font>
    <font>
      <sz val="9"/>
      <name val="Palatino Linotype"/>
      <family val="1"/>
    </font>
    <font>
      <b/>
      <sz val="9"/>
      <color theme="1"/>
      <name val="Palatino Linotype"/>
      <family val="1"/>
    </font>
    <font>
      <b/>
      <sz val="9"/>
      <color rgb="FF0000FF"/>
      <name val="Palatino Linotype"/>
      <family val="1"/>
    </font>
    <font>
      <b/>
      <sz val="9"/>
      <color rgb="FF000000"/>
      <name val="Palatino Linotype"/>
      <family val="1"/>
    </font>
    <font>
      <b/>
      <u val="singleAccounting"/>
      <sz val="9"/>
      <color theme="1"/>
      <name val="Palatino Linotype"/>
      <family val="1"/>
    </font>
    <font>
      <u val="singleAccounting"/>
      <sz val="9"/>
      <color theme="1"/>
      <name val="Palatino Linotype"/>
      <family val="1"/>
    </font>
    <font>
      <sz val="6"/>
      <color rgb="FF000000"/>
      <name val="Arial"/>
      <family val="2"/>
    </font>
    <font>
      <b/>
      <u/>
      <sz val="9"/>
      <color rgb="FF000000"/>
      <name val="Palatino Linotype"/>
      <family val="1"/>
    </font>
    <font>
      <b/>
      <u/>
      <sz val="9"/>
      <color rgb="FF0000FF"/>
      <name val="Palatino Linotype"/>
      <family val="1"/>
    </font>
  </fonts>
  <fills count="8">
    <fill>
      <patternFill patternType="none"/>
    </fill>
    <fill>
      <patternFill patternType="gray125"/>
    </fill>
    <fill>
      <patternFill patternType="solid">
        <fgColor rgb="FFFFFFCC"/>
      </patternFill>
    </fill>
    <fill>
      <patternFill patternType="solid">
        <fgColor theme="4"/>
        <bgColor indexed="64"/>
      </patternFill>
    </fill>
    <fill>
      <patternFill patternType="solid">
        <fgColor theme="9"/>
        <bgColor indexed="64"/>
      </patternFill>
    </fill>
    <fill>
      <patternFill patternType="solid">
        <fgColor theme="8"/>
        <bgColor indexed="64"/>
      </patternFill>
    </fill>
    <fill>
      <patternFill patternType="solid">
        <fgColor rgb="FFFFFFCC"/>
        <bgColor indexed="64"/>
      </patternFill>
    </fill>
    <fill>
      <patternFill patternType="solid">
        <fgColor rgb="FFFFFFCC"/>
        <bgColor rgb="FF000000"/>
      </patternFill>
    </fill>
  </fills>
  <borders count="8">
    <border>
      <left/>
      <right/>
      <top/>
      <bottom/>
      <diagonal/>
    </border>
    <border>
      <left style="thin">
        <color rgb="FFB2B2B2"/>
      </left>
      <right style="thin">
        <color rgb="FFB2B2B2"/>
      </right>
      <top style="thin">
        <color rgb="FFB2B2B2"/>
      </top>
      <bottom style="thin">
        <color rgb="FFB2B2B2"/>
      </bottom>
      <diagonal/>
    </border>
    <border>
      <left/>
      <right/>
      <top style="thin">
        <color indexed="64"/>
      </top>
      <bottom style="thin">
        <color indexed="64"/>
      </bottom>
      <diagonal/>
    </border>
    <border>
      <left style="hair">
        <color rgb="FF000000"/>
      </left>
      <right style="hair">
        <color rgb="FF000000"/>
      </right>
      <top style="hair">
        <color rgb="FF000000"/>
      </top>
      <bottom style="hair">
        <color rgb="FF000000"/>
      </bottom>
      <diagonal/>
    </border>
    <border>
      <left style="hair">
        <color rgb="FF000000"/>
      </left>
      <right style="hair">
        <color rgb="FF000000"/>
      </right>
      <top style="hair">
        <color rgb="FF000000"/>
      </top>
      <bottom/>
      <diagonal/>
    </border>
    <border>
      <left/>
      <right/>
      <top/>
      <bottom style="thin">
        <color rgb="FF000000"/>
      </bottom>
      <diagonal/>
    </border>
    <border>
      <left/>
      <right/>
      <top style="thin">
        <color indexed="64"/>
      </top>
      <bottom/>
      <diagonal/>
    </border>
    <border>
      <left/>
      <right/>
      <top style="thin">
        <color rgb="FF000000"/>
      </top>
      <bottom/>
      <diagonal/>
    </border>
  </borders>
  <cellStyleXfs count="5">
    <xf numFmtId="0" fontId="0" fillId="0" borderId="0"/>
    <xf numFmtId="0" fontId="1" fillId="2" borderId="1" applyNumberFormat="0" applyFont="0" applyAlignment="0" applyProtection="0"/>
    <xf numFmtId="0" fontId="2" fillId="0" borderId="0"/>
    <xf numFmtId="0" fontId="10" fillId="0" borderId="0"/>
    <xf numFmtId="0" fontId="2" fillId="0" borderId="0"/>
  </cellStyleXfs>
  <cellXfs count="84">
    <xf numFmtId="0" fontId="0" fillId="0" borderId="0" xfId="0"/>
    <xf numFmtId="0" fontId="3" fillId="0" borderId="0" xfId="2" applyFont="1" applyAlignment="1">
      <alignment horizontal="center"/>
    </xf>
    <xf numFmtId="0" fontId="4" fillId="0" borderId="0" xfId="2" applyFont="1"/>
    <xf numFmtId="0" fontId="5" fillId="3" borderId="0" xfId="2" applyFont="1" applyFill="1"/>
    <xf numFmtId="0" fontId="6" fillId="3" borderId="0" xfId="2" applyFont="1" applyFill="1"/>
    <xf numFmtId="0" fontId="7" fillId="3" borderId="0" xfId="2" applyFont="1" applyFill="1" applyAlignment="1">
      <alignment horizontal="center"/>
    </xf>
    <xf numFmtId="0" fontId="8" fillId="3" borderId="0" xfId="2" applyFont="1" applyFill="1" applyAlignment="1">
      <alignment horizontal="centerContinuous"/>
    </xf>
    <xf numFmtId="0" fontId="7" fillId="3" borderId="0" xfId="2" applyFont="1" applyFill="1"/>
    <xf numFmtId="15" fontId="7" fillId="3" borderId="0" xfId="2" applyNumberFormat="1" applyFont="1" applyFill="1" applyAlignment="1">
      <alignment horizontal="center"/>
    </xf>
    <xf numFmtId="0" fontId="3" fillId="0" borderId="0" xfId="2" applyFont="1" applyAlignment="1">
      <alignment horizontal="center" vertical="center"/>
    </xf>
    <xf numFmtId="0" fontId="4" fillId="0" borderId="0" xfId="2" applyFont="1" applyAlignment="1">
      <alignment vertical="center"/>
    </xf>
    <xf numFmtId="0" fontId="3" fillId="0" borderId="0" xfId="2" applyFont="1" applyAlignment="1">
      <alignment horizontal="left" vertical="center"/>
    </xf>
    <xf numFmtId="166" fontId="11" fillId="0" borderId="0" xfId="3" applyNumberFormat="1" applyFont="1" applyAlignment="1">
      <alignment horizontal="right" vertical="center"/>
    </xf>
    <xf numFmtId="166" fontId="12" fillId="0" borderId="0" xfId="2" applyNumberFormat="1" applyFont="1" applyAlignment="1">
      <alignment horizontal="right" vertical="center"/>
    </xf>
    <xf numFmtId="166" fontId="12" fillId="0" borderId="0" xfId="2" applyNumberFormat="1" applyFont="1" applyAlignment="1">
      <alignment horizontal="right" vertical="center" indent="2"/>
    </xf>
    <xf numFmtId="167" fontId="12" fillId="0" borderId="0" xfId="2" applyNumberFormat="1" applyFont="1" applyAlignment="1">
      <alignment vertical="center"/>
    </xf>
    <xf numFmtId="165" fontId="11" fillId="0" borderId="0" xfId="0" applyNumberFormat="1" applyFont="1" applyAlignment="1">
      <alignment horizontal="right" vertical="center" indent="1"/>
    </xf>
    <xf numFmtId="168" fontId="4" fillId="0" borderId="0" xfId="2" applyNumberFormat="1" applyFont="1" applyAlignment="1">
      <alignment horizontal="right" vertical="center" indent="1"/>
    </xf>
    <xf numFmtId="165" fontId="4" fillId="0" borderId="0" xfId="2" applyNumberFormat="1" applyFont="1" applyAlignment="1">
      <alignment horizontal="right" vertical="center" indent="1"/>
    </xf>
    <xf numFmtId="167" fontId="12" fillId="0" borderId="0" xfId="2" applyNumberFormat="1" applyFont="1" applyAlignment="1">
      <alignment horizontal="right" vertical="center"/>
    </xf>
    <xf numFmtId="169" fontId="12" fillId="0" borderId="0" xfId="2" applyNumberFormat="1" applyFont="1" applyAlignment="1">
      <alignment horizontal="right" vertical="center"/>
    </xf>
    <xf numFmtId="166" fontId="13" fillId="0" borderId="0" xfId="3" applyNumberFormat="1" applyFont="1" applyAlignment="1">
      <alignment horizontal="right" vertical="center"/>
    </xf>
    <xf numFmtId="167" fontId="12" fillId="0" borderId="0" xfId="2" applyNumberFormat="1" applyFont="1" applyAlignment="1">
      <alignment horizontal="right" vertical="center" indent="1"/>
    </xf>
    <xf numFmtId="167" fontId="12" fillId="0" borderId="0" xfId="0" applyNumberFormat="1" applyFont="1" applyAlignment="1">
      <alignment horizontal="right" vertical="center" indent="1"/>
    </xf>
    <xf numFmtId="0" fontId="14" fillId="4" borderId="2" xfId="2" applyFont="1" applyFill="1" applyBorder="1" applyAlignment="1">
      <alignment vertical="center"/>
    </xf>
    <xf numFmtId="0" fontId="14" fillId="4" borderId="2" xfId="2" applyFont="1" applyFill="1" applyBorder="1" applyAlignment="1">
      <alignment horizontal="right" vertical="center"/>
    </xf>
    <xf numFmtId="165" fontId="14" fillId="4" borderId="2" xfId="2" applyNumberFormat="1" applyFont="1" applyFill="1" applyBorder="1" applyAlignment="1">
      <alignment horizontal="right" vertical="center" indent="1"/>
    </xf>
    <xf numFmtId="169" fontId="4" fillId="0" borderId="0" xfId="2" applyNumberFormat="1" applyFont="1" applyAlignment="1">
      <alignment vertical="center"/>
    </xf>
    <xf numFmtId="0" fontId="4" fillId="0" borderId="0" xfId="2" applyFont="1" applyAlignment="1">
      <alignment horizontal="right" vertical="center"/>
    </xf>
    <xf numFmtId="0" fontId="9" fillId="0" borderId="0" xfId="0" applyFont="1" applyAlignment="1">
      <alignment vertical="center"/>
    </xf>
    <xf numFmtId="0" fontId="15" fillId="0" borderId="0" xfId="2" applyFont="1" applyAlignment="1">
      <alignment horizontal="center" vertical="center"/>
    </xf>
    <xf numFmtId="0" fontId="14" fillId="0" borderId="0" xfId="2" applyFont="1" applyAlignment="1">
      <alignment vertical="center"/>
    </xf>
    <xf numFmtId="0" fontId="7" fillId="3" borderId="0" xfId="2" applyFont="1" applyFill="1" applyAlignment="1">
      <alignment horizontal="centerContinuous"/>
    </xf>
    <xf numFmtId="11" fontId="7" fillId="3" borderId="0" xfId="2" applyNumberFormat="1" applyFont="1" applyFill="1" applyAlignment="1">
      <alignment horizontal="center"/>
    </xf>
    <xf numFmtId="168" fontId="11" fillId="0" borderId="0" xfId="2" applyNumberFormat="1" applyFont="1" applyAlignment="1">
      <alignment horizontal="right" vertical="center" indent="1"/>
    </xf>
    <xf numFmtId="0" fontId="3" fillId="6" borderId="3" xfId="3" applyFont="1" applyFill="1" applyBorder="1" applyAlignment="1">
      <alignment horizontal="center" vertical="center"/>
    </xf>
    <xf numFmtId="165" fontId="16" fillId="4" borderId="2" xfId="2" applyNumberFormat="1" applyFont="1" applyFill="1" applyBorder="1" applyAlignment="1">
      <alignment horizontal="right" vertical="center" indent="1"/>
    </xf>
    <xf numFmtId="168" fontId="14" fillId="4" borderId="2" xfId="2" applyNumberFormat="1" applyFont="1" applyFill="1" applyBorder="1" applyAlignment="1">
      <alignment horizontal="right" vertical="center" indent="1"/>
    </xf>
    <xf numFmtId="167" fontId="11" fillId="0" borderId="0" xfId="2" applyNumberFormat="1" applyFont="1" applyAlignment="1">
      <alignment horizontal="right" vertical="center"/>
    </xf>
    <xf numFmtId="0" fontId="4" fillId="0" borderId="0" xfId="2" applyFont="1" applyAlignment="1">
      <alignment horizontal="right"/>
    </xf>
    <xf numFmtId="0" fontId="17" fillId="0" borderId="0" xfId="2" applyFont="1" applyAlignment="1">
      <alignment horizontal="centerContinuous"/>
    </xf>
    <xf numFmtId="166" fontId="12" fillId="0" borderId="0" xfId="2" applyNumberFormat="1" applyFont="1" applyAlignment="1">
      <alignment horizontal="center" vertical="center"/>
    </xf>
    <xf numFmtId="0" fontId="14" fillId="4" borderId="2" xfId="2" applyFont="1" applyFill="1" applyBorder="1" applyAlignment="1">
      <alignment horizontal="center" vertical="center"/>
    </xf>
    <xf numFmtId="0" fontId="4" fillId="0" borderId="0" xfId="2" applyFont="1" applyAlignment="1">
      <alignment horizontal="center" vertical="center"/>
    </xf>
    <xf numFmtId="0" fontId="8" fillId="3" borderId="0" xfId="4" applyFont="1" applyFill="1" applyAlignment="1">
      <alignment horizontal="centerContinuous" vertical="top"/>
    </xf>
    <xf numFmtId="170" fontId="12" fillId="0" borderId="0" xfId="2" applyNumberFormat="1" applyFont="1" applyAlignment="1">
      <alignment horizontal="right" vertical="center"/>
    </xf>
    <xf numFmtId="170" fontId="4" fillId="0" borderId="0" xfId="2" applyNumberFormat="1" applyFont="1" applyAlignment="1">
      <alignment vertical="center"/>
    </xf>
    <xf numFmtId="170" fontId="14" fillId="0" borderId="0" xfId="2" applyNumberFormat="1" applyFont="1" applyAlignment="1">
      <alignment vertical="center"/>
    </xf>
    <xf numFmtId="171" fontId="12" fillId="0" borderId="0" xfId="2" applyNumberFormat="1" applyFont="1" applyAlignment="1">
      <alignment horizontal="right" vertical="center"/>
    </xf>
    <xf numFmtId="171" fontId="4" fillId="0" borderId="0" xfId="2" applyNumberFormat="1" applyFont="1" applyAlignment="1">
      <alignment vertical="center"/>
    </xf>
    <xf numFmtId="171" fontId="14" fillId="0" borderId="0" xfId="2" applyNumberFormat="1" applyFont="1" applyAlignment="1">
      <alignment vertical="center"/>
    </xf>
    <xf numFmtId="0" fontId="7" fillId="5" borderId="0" xfId="2" applyFont="1" applyFill="1" applyAlignment="1">
      <alignment vertical="center"/>
    </xf>
    <xf numFmtId="165" fontId="7" fillId="5" borderId="0" xfId="2" applyNumberFormat="1" applyFont="1" applyFill="1" applyAlignment="1">
      <alignment horizontal="right" vertical="center" indent="1"/>
    </xf>
    <xf numFmtId="168" fontId="7" fillId="5" borderId="0" xfId="2" applyNumberFormat="1" applyFont="1" applyFill="1" applyAlignment="1">
      <alignment horizontal="right" vertical="center" indent="1"/>
    </xf>
    <xf numFmtId="0" fontId="4" fillId="0" borderId="6" xfId="2" applyFont="1" applyBorder="1" applyAlignment="1">
      <alignment vertical="center"/>
    </xf>
    <xf numFmtId="0" fontId="4" fillId="0" borderId="6" xfId="2" applyFont="1" applyBorder="1" applyAlignment="1">
      <alignment horizontal="right" vertical="center"/>
    </xf>
    <xf numFmtId="0" fontId="7" fillId="5" borderId="7" xfId="2" applyFont="1" applyFill="1" applyBorder="1" applyAlignment="1">
      <alignment vertical="center"/>
    </xf>
    <xf numFmtId="165" fontId="7" fillId="5" borderId="7" xfId="2" applyNumberFormat="1" applyFont="1" applyFill="1" applyBorder="1" applyAlignment="1">
      <alignment horizontal="right" vertical="center" indent="1"/>
    </xf>
    <xf numFmtId="168" fontId="7" fillId="5" borderId="7" xfId="2" applyNumberFormat="1" applyFont="1" applyFill="1" applyBorder="1" applyAlignment="1">
      <alignment horizontal="right" vertical="center" indent="1"/>
    </xf>
    <xf numFmtId="0" fontId="7" fillId="5" borderId="5" xfId="2" applyFont="1" applyFill="1" applyBorder="1" applyAlignment="1">
      <alignment vertical="center"/>
    </xf>
    <xf numFmtId="165" fontId="7" fillId="5" borderId="5" xfId="2" applyNumberFormat="1" applyFont="1" applyFill="1" applyBorder="1" applyAlignment="1">
      <alignment horizontal="right" vertical="center" indent="1"/>
    </xf>
    <xf numFmtId="168" fontId="7" fillId="5" borderId="5" xfId="2" applyNumberFormat="1" applyFont="1" applyFill="1" applyBorder="1" applyAlignment="1">
      <alignment horizontal="right" vertical="center" indent="1"/>
    </xf>
    <xf numFmtId="11" fontId="7" fillId="3" borderId="0" xfId="2" quotePrefix="1" applyNumberFormat="1" applyFont="1" applyFill="1" applyAlignment="1">
      <alignment horizontal="center"/>
    </xf>
    <xf numFmtId="170" fontId="13" fillId="0" borderId="0" xfId="2" applyNumberFormat="1" applyFont="1" applyAlignment="1">
      <alignment horizontal="right" vertical="center"/>
    </xf>
    <xf numFmtId="170" fontId="13" fillId="0" borderId="0" xfId="2" applyNumberFormat="1" applyFont="1" applyAlignment="1">
      <alignment vertical="center"/>
    </xf>
    <xf numFmtId="0" fontId="18" fillId="0" borderId="0" xfId="2" applyFont="1" applyAlignment="1">
      <alignment horizontal="centerContinuous"/>
    </xf>
    <xf numFmtId="172" fontId="11" fillId="0" borderId="0" xfId="2" applyNumberFormat="1" applyFont="1" applyAlignment="1">
      <alignment horizontal="right" vertical="center"/>
    </xf>
    <xf numFmtId="172" fontId="12" fillId="0" borderId="0" xfId="2" applyNumberFormat="1" applyFont="1" applyAlignment="1">
      <alignment horizontal="right" vertical="center"/>
    </xf>
    <xf numFmtId="172" fontId="4" fillId="0" borderId="0" xfId="2" applyNumberFormat="1" applyFont="1" applyAlignment="1">
      <alignment vertical="center"/>
    </xf>
    <xf numFmtId="0" fontId="12" fillId="0" borderId="0" xfId="2" applyFont="1" applyAlignment="1">
      <alignment horizontal="right" vertical="center"/>
    </xf>
    <xf numFmtId="4" fontId="19" fillId="0" borderId="0" xfId="0" applyNumberFormat="1" applyFont="1" applyAlignment="1">
      <alignment horizontal="right"/>
    </xf>
    <xf numFmtId="11" fontId="7" fillId="3" borderId="0" xfId="2" applyNumberFormat="1" applyFont="1" applyFill="1" applyAlignment="1">
      <alignment horizontal="left"/>
    </xf>
    <xf numFmtId="0" fontId="20" fillId="0" borderId="0" xfId="2" applyFont="1" applyAlignment="1">
      <alignment vertical="center"/>
    </xf>
    <xf numFmtId="0" fontId="11" fillId="0" borderId="0" xfId="2" applyNumberFormat="1" applyFont="1" applyAlignment="1">
      <alignment horizontal="left" vertical="center"/>
    </xf>
    <xf numFmtId="0" fontId="3" fillId="7" borderId="3" xfId="1" applyNumberFormat="1" applyFont="1" applyFill="1" applyBorder="1" applyAlignment="1">
      <alignment horizontal="center" vertical="center"/>
    </xf>
    <xf numFmtId="0" fontId="21" fillId="6" borderId="3" xfId="3" applyFont="1" applyFill="1" applyBorder="1" applyAlignment="1">
      <alignment horizontal="center" vertical="center"/>
    </xf>
    <xf numFmtId="170" fontId="7" fillId="5" borderId="7" xfId="2" applyNumberFormat="1" applyFont="1" applyFill="1" applyBorder="1" applyAlignment="1">
      <alignment horizontal="right" vertical="center" indent="1"/>
    </xf>
    <xf numFmtId="170" fontId="7" fillId="5" borderId="0" xfId="2" applyNumberFormat="1" applyFont="1" applyFill="1" applyAlignment="1">
      <alignment horizontal="right" vertical="center" indent="1"/>
    </xf>
    <xf numFmtId="170" fontId="7" fillId="5" borderId="5" xfId="2" applyNumberFormat="1" applyFont="1" applyFill="1" applyBorder="1" applyAlignment="1">
      <alignment horizontal="right" vertical="center" indent="1"/>
    </xf>
    <xf numFmtId="164" fontId="11" fillId="2" borderId="4" xfId="1" applyNumberFormat="1" applyFont="1" applyBorder="1" applyAlignment="1">
      <alignment horizontal="center" vertical="center"/>
    </xf>
    <xf numFmtId="0" fontId="3" fillId="2" borderId="3" xfId="1" applyNumberFormat="1" applyFont="1" applyBorder="1" applyAlignment="1">
      <alignment horizontal="center" vertical="center"/>
    </xf>
    <xf numFmtId="0" fontId="17" fillId="0" borderId="0" xfId="2" applyFont="1" applyAlignment="1">
      <alignment horizontal="centerContinuous" vertical="center"/>
    </xf>
    <xf numFmtId="165" fontId="3" fillId="2" borderId="4" xfId="1" applyNumberFormat="1" applyFont="1" applyBorder="1" applyAlignment="1">
      <alignment horizontal="right" vertical="center"/>
    </xf>
    <xf numFmtId="165" fontId="3" fillId="2" borderId="3" xfId="1" applyNumberFormat="1" applyFont="1" applyBorder="1" applyAlignment="1">
      <alignment horizontal="right" vertical="center"/>
    </xf>
  </cellXfs>
  <cellStyles count="5">
    <cellStyle name="Normal" xfId="0" builtinId="0"/>
    <cellStyle name="Normal 2" xfId="2" xr:uid="{00000000-0005-0000-0000-000001000000}"/>
    <cellStyle name="Normal 2 2 14" xfId="3" xr:uid="{00000000-0005-0000-0000-000002000000}"/>
    <cellStyle name="Normal 2 3" xfId="4" xr:uid="{1DC0D5DA-9B95-4ABB-BD56-633985D4BCF5}"/>
    <cellStyle name="Note" xfId="1" builtinId="10"/>
  </cellStyles>
  <dxfs count="5">
    <dxf>
      <font>
        <color rgb="FF9C0006"/>
      </font>
      <fill>
        <patternFill>
          <bgColor rgb="FFFFC7CE"/>
        </patternFill>
      </fill>
    </dxf>
    <dxf>
      <font>
        <color rgb="FF9C0006"/>
      </font>
      <fill>
        <patternFill>
          <bgColor rgb="FFFFC7CE"/>
        </patternFill>
      </fill>
    </dxf>
    <dxf>
      <font>
        <color rgb="FF9C0006"/>
      </font>
      <fill>
        <patternFill>
          <bgColor rgb="FFFFC7CE"/>
        </patternFill>
      </fill>
    </dxf>
    <dxf>
      <numFmt numFmtId="174" formatCode="\C&quot;$&quot;#,##0.00_);\(&quot;$&quot;#,##0.00\)"/>
    </dxf>
    <dxf>
      <numFmt numFmtId="175" formatCode="[$€-2]#,##0.00_)"/>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eetMetadata" Target="metadata.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1. INFOR (New)">
      <a:dk1>
        <a:sysClr val="windowText" lastClr="000000"/>
      </a:dk1>
      <a:lt1>
        <a:sysClr val="window" lastClr="FFFFFF"/>
      </a:lt1>
      <a:dk2>
        <a:srgbClr val="000000"/>
      </a:dk2>
      <a:lt2>
        <a:srgbClr val="FFFFFF"/>
      </a:lt2>
      <a:accent1>
        <a:srgbClr val="0E213F"/>
      </a:accent1>
      <a:accent2>
        <a:srgbClr val="46566E"/>
      </a:accent2>
      <a:accent3>
        <a:srgbClr val="ADB9CA"/>
      </a:accent3>
      <a:accent4>
        <a:srgbClr val="A4844B"/>
      </a:accent4>
      <a:accent5>
        <a:srgbClr val="767171"/>
      </a:accent5>
      <a:accent6>
        <a:srgbClr val="E5E3E3"/>
      </a:accent6>
      <a:hlink>
        <a:srgbClr val="800000"/>
      </a:hlink>
      <a:folHlink>
        <a:srgbClr val="333300"/>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D8CC18-82C1-4217-8E64-2C394CDCE557}">
  <dimension ref="A1"/>
  <sheetViews>
    <sheetView workbookViewId="0"/>
  </sheetViews>
  <sheetFormatPr defaultRowHeight="15" x14ac:dyDescent="0.25"/>
  <sheetData>
    <row r="1" spans="1:1" x14ac:dyDescent="0.25">
      <c r="A1" t="s">
        <v>57</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B1:CF28"/>
  <sheetViews>
    <sheetView showGridLines="0" tabSelected="1" view="pageBreakPreview" zoomScaleNormal="85" zoomScaleSheetLayoutView="100" workbookViewId="0">
      <pane xSplit="6" ySplit="7" topLeftCell="J8" activePane="bottomRight" state="frozen"/>
      <selection pane="topRight" activeCell="G1" sqref="G1"/>
      <selection pane="bottomLeft" activeCell="A11" sqref="A11"/>
      <selection pane="bottomRight"/>
    </sheetView>
  </sheetViews>
  <sheetFormatPr defaultColWidth="9.5703125" defaultRowHeight="20.100000000000001" customHeight="1" outlineLevelRow="1" outlineLevelCol="1" x14ac:dyDescent="0.3"/>
  <cols>
    <col min="1" max="1" width="2.7109375" style="2" customWidth="1"/>
    <col min="2" max="2" width="19.28515625" style="1" customWidth="1"/>
    <col min="3" max="3" width="2.7109375" style="2" customWidth="1"/>
    <col min="4" max="6" width="11.42578125" style="2" customWidth="1"/>
    <col min="7" max="9" width="11.42578125" style="2" hidden="1" customWidth="1" outlineLevel="1"/>
    <col min="10" max="10" width="11.42578125" style="2" customWidth="1" collapsed="1"/>
    <col min="11" max="12" width="11.140625" style="2" customWidth="1"/>
    <col min="13" max="21" width="11.42578125" style="2" customWidth="1"/>
    <col min="22" max="38" width="11.42578125" style="2" hidden="1" customWidth="1" outlineLevel="1"/>
    <col min="39" max="39" width="50.7109375" style="2" customWidth="1" collapsed="1"/>
    <col min="40" max="40" width="2.7109375" style="2" customWidth="1"/>
    <col min="41" max="44" width="9.5703125" style="2"/>
    <col min="45" max="45" width="1.5703125" style="2" customWidth="1"/>
    <col min="46" max="49" width="9.5703125" style="2"/>
    <col min="50" max="50" width="1.5703125" style="2" customWidth="1"/>
    <col min="51" max="53" width="9.5703125" style="2"/>
    <col min="54" max="54" width="1.5703125" style="2" customWidth="1"/>
    <col min="55" max="57" width="9.5703125" style="2"/>
    <col min="58" max="58" width="1.5703125" style="2" customWidth="1"/>
    <col min="59" max="64" width="9.5703125" style="2"/>
    <col min="65" max="65" width="1.5703125" style="2" customWidth="1"/>
    <col min="66" max="68" width="9.5703125" style="2" customWidth="1"/>
    <col min="69" max="69" width="1.5703125" style="2" customWidth="1"/>
    <col min="70" max="72" width="9.5703125" style="2" customWidth="1"/>
    <col min="73" max="73" width="1.5703125" style="2" customWidth="1"/>
    <col min="74" max="76" width="9.5703125" style="2" customWidth="1"/>
    <col min="77" max="77" width="1.5703125" style="2" customWidth="1"/>
    <col min="78" max="80" width="9.5703125" style="2" customWidth="1"/>
    <col min="81" max="81" width="1.5703125" style="2" customWidth="1"/>
    <col min="82" max="84" width="9.5703125" style="2" customWidth="1"/>
    <col min="85" max="16384" width="9.5703125" style="2"/>
  </cols>
  <sheetData>
    <row r="1" spans="2:84" ht="15" customHeight="1" x14ac:dyDescent="0.3"/>
    <row r="2" spans="2:84" ht="15" customHeight="1" outlineLevel="1" x14ac:dyDescent="0.3">
      <c r="E2" s="10" t="s">
        <v>50</v>
      </c>
      <c r="F2" s="79">
        <f ca="1">TODAY()-1</f>
        <v>46099</v>
      </c>
      <c r="K2" s="10"/>
      <c r="L2" s="81" t="s">
        <v>2</v>
      </c>
      <c r="M2" s="81"/>
      <c r="N2" s="81"/>
      <c r="O2" s="81"/>
      <c r="P2" s="81" t="s">
        <v>3</v>
      </c>
      <c r="Q2" s="81"/>
      <c r="R2" s="81"/>
      <c r="S2" s="81"/>
    </row>
    <row r="3" spans="2:84" ht="15" customHeight="1" outlineLevel="1" x14ac:dyDescent="0.3">
      <c r="E3" s="10" t="s">
        <v>0</v>
      </c>
      <c r="F3" s="80" t="s">
        <v>1</v>
      </c>
      <c r="G3" s="39"/>
      <c r="K3" s="10" t="s">
        <v>4</v>
      </c>
      <c r="L3" s="82">
        <v>0</v>
      </c>
      <c r="M3" s="82">
        <v>0</v>
      </c>
      <c r="N3" s="82">
        <v>0</v>
      </c>
      <c r="O3" s="82">
        <v>0</v>
      </c>
      <c r="P3" s="82">
        <v>0</v>
      </c>
      <c r="Q3" s="82">
        <v>0</v>
      </c>
      <c r="R3" s="82">
        <v>0</v>
      </c>
      <c r="S3" s="82">
        <v>0</v>
      </c>
      <c r="AL3" s="70"/>
      <c r="AM3" s="70"/>
    </row>
    <row r="4" spans="2:84" ht="15" customHeight="1" outlineLevel="1" x14ac:dyDescent="0.3">
      <c r="E4" s="10" t="s">
        <v>51</v>
      </c>
      <c r="F4" s="74" t="s">
        <v>52</v>
      </c>
      <c r="K4" s="10" t="s">
        <v>5</v>
      </c>
      <c r="L4" s="83">
        <v>20</v>
      </c>
      <c r="M4" s="83">
        <v>20</v>
      </c>
      <c r="N4" s="83">
        <v>20</v>
      </c>
      <c r="O4" s="83">
        <v>20</v>
      </c>
      <c r="P4" s="83">
        <v>50</v>
      </c>
      <c r="Q4" s="83">
        <v>50</v>
      </c>
      <c r="R4" s="83">
        <v>50</v>
      </c>
      <c r="S4" s="83">
        <v>50</v>
      </c>
    </row>
    <row r="5" spans="2:84" ht="15" customHeight="1" x14ac:dyDescent="0.45">
      <c r="BR5" s="40" t="s">
        <v>44</v>
      </c>
      <c r="BS5" s="65"/>
      <c r="BT5" s="65"/>
      <c r="BU5" s="65"/>
      <c r="BV5" s="65"/>
      <c r="BW5" s="65"/>
      <c r="BX5" s="65"/>
      <c r="BZ5" s="40" t="s">
        <v>43</v>
      </c>
      <c r="CA5" s="40"/>
      <c r="CB5" s="40"/>
      <c r="CC5" s="40"/>
      <c r="CD5" s="40"/>
      <c r="CE5" s="40"/>
      <c r="CF5" s="40"/>
    </row>
    <row r="6" spans="2:84" ht="16.350000000000001" customHeight="1" x14ac:dyDescent="0.45">
      <c r="D6" s="3" t="str">
        <f>"(In "&amp;IF(F3="USD","US","C")&amp;"$MM, unless otherwise noted)"</f>
        <v>(In US$MM, unless otherwise noted)</v>
      </c>
      <c r="E6" s="4"/>
      <c r="F6" s="4"/>
      <c r="G6" s="5" t="s">
        <v>6</v>
      </c>
      <c r="H6" s="5" t="s">
        <v>6</v>
      </c>
      <c r="I6" s="5" t="s">
        <v>7</v>
      </c>
      <c r="J6" s="5" t="s">
        <v>8</v>
      </c>
      <c r="K6" s="5" t="s">
        <v>9</v>
      </c>
      <c r="L6" s="6" t="s">
        <v>10</v>
      </c>
      <c r="M6" s="6"/>
      <c r="N6" s="6"/>
      <c r="O6" s="6"/>
      <c r="P6" s="6" t="s">
        <v>11</v>
      </c>
      <c r="Q6" s="6"/>
      <c r="R6" s="6"/>
      <c r="S6" s="6"/>
      <c r="T6" s="6" t="s">
        <v>32</v>
      </c>
      <c r="U6" s="32"/>
      <c r="V6" s="6" t="s">
        <v>12</v>
      </c>
      <c r="W6" s="6"/>
      <c r="X6" s="6"/>
      <c r="Y6" s="6" t="s">
        <v>30</v>
      </c>
      <c r="Z6" s="6"/>
      <c r="AA6" s="6"/>
      <c r="AB6" s="6" t="s">
        <v>31</v>
      </c>
      <c r="AC6" s="6"/>
      <c r="AD6" s="6"/>
      <c r="AE6" s="6" t="s">
        <v>25</v>
      </c>
      <c r="AF6" s="6"/>
      <c r="AG6" s="6"/>
      <c r="AH6" s="6" t="s">
        <v>45</v>
      </c>
      <c r="AI6" s="6"/>
      <c r="AJ6" s="6" t="s">
        <v>46</v>
      </c>
      <c r="AK6" s="6"/>
      <c r="AL6" s="32" t="s">
        <v>28</v>
      </c>
      <c r="AM6" s="33"/>
      <c r="AO6" s="6" t="s">
        <v>14</v>
      </c>
      <c r="AP6" s="6"/>
      <c r="AQ6" s="6"/>
      <c r="AR6" s="6"/>
      <c r="AT6" s="6" t="s">
        <v>15</v>
      </c>
      <c r="AU6" s="6"/>
      <c r="AV6" s="6"/>
      <c r="AW6" s="6"/>
      <c r="AY6" s="6" t="s">
        <v>16</v>
      </c>
      <c r="AZ6" s="6"/>
      <c r="BA6" s="6"/>
      <c r="BC6" s="6" t="s">
        <v>49</v>
      </c>
      <c r="BD6" s="6"/>
      <c r="BE6" s="6"/>
      <c r="BG6" s="5" t="s">
        <v>26</v>
      </c>
      <c r="BH6" s="5" t="s">
        <v>13</v>
      </c>
      <c r="BI6" s="5"/>
      <c r="BJ6" s="5" t="s">
        <v>34</v>
      </c>
      <c r="BK6" s="5"/>
      <c r="BL6" s="5"/>
      <c r="BN6" s="44" t="s">
        <v>39</v>
      </c>
      <c r="BO6" s="6"/>
      <c r="BP6" s="6"/>
      <c r="BR6" s="44" t="s">
        <v>36</v>
      </c>
      <c r="BS6" s="6"/>
      <c r="BT6" s="6"/>
      <c r="BU6" s="2" t="s">
        <v>40</v>
      </c>
      <c r="BV6" s="44" t="s">
        <v>37</v>
      </c>
      <c r="BW6" s="6"/>
      <c r="BX6" s="6"/>
      <c r="BZ6" s="44" t="s">
        <v>38</v>
      </c>
      <c r="CA6" s="6"/>
      <c r="CB6" s="6"/>
      <c r="CD6" s="6" t="s">
        <v>33</v>
      </c>
      <c r="CE6" s="6"/>
      <c r="CF6" s="6"/>
    </row>
    <row r="7" spans="2:84" ht="16.350000000000001" customHeight="1" x14ac:dyDescent="0.3">
      <c r="D7" s="7" t="s">
        <v>17</v>
      </c>
      <c r="E7" s="4"/>
      <c r="F7" s="4"/>
      <c r="G7" s="8" t="str">
        <f ca="1">CONCATENATE("(",TEXT($F$2,"dd-mmm-yy"),")")</f>
        <v>(18-Mar-26)</v>
      </c>
      <c r="H7" s="8" t="str">
        <f>"("&amp;F3&amp;")"</f>
        <v>(USD)</v>
      </c>
      <c r="I7" s="8" t="s">
        <v>18</v>
      </c>
      <c r="J7" s="5" t="s">
        <v>19</v>
      </c>
      <c r="K7" s="5" t="s">
        <v>20</v>
      </c>
      <c r="L7" s="5" t="s">
        <v>53</v>
      </c>
      <c r="M7" s="5" t="str">
        <f>AP7&amp;"A"</f>
        <v>CY2025A</v>
      </c>
      <c r="N7" s="5" t="str">
        <f>AQ7&amp;"E"</f>
        <v>CY2026E</v>
      </c>
      <c r="O7" s="5" t="str">
        <f>AR7&amp;"E"</f>
        <v>CY2027E</v>
      </c>
      <c r="P7" s="5" t="s">
        <v>53</v>
      </c>
      <c r="Q7" s="5" t="str">
        <f>$M$7</f>
        <v>CY2025A</v>
      </c>
      <c r="R7" s="5" t="str">
        <f>$N$7</f>
        <v>CY2026E</v>
      </c>
      <c r="S7" s="5" t="str">
        <f>$O$7</f>
        <v>CY2027E</v>
      </c>
      <c r="T7" s="62" t="str">
        <f>RIGHT(Y7,3)&amp;"-"&amp;RIGHT(Z7,3)</f>
        <v>25A-26E</v>
      </c>
      <c r="U7" s="62" t="str">
        <f>RIGHT(Z7,3)&amp;"-"&amp;RIGHT(AA7,3)</f>
        <v>26E-27E</v>
      </c>
      <c r="V7" s="5" t="str">
        <f>$M$7</f>
        <v>CY2025A</v>
      </c>
      <c r="W7" s="5" t="str">
        <f>$N$7</f>
        <v>CY2026E</v>
      </c>
      <c r="X7" s="5" t="str">
        <f>$O$7</f>
        <v>CY2027E</v>
      </c>
      <c r="Y7" s="5" t="str">
        <f>$M$7</f>
        <v>CY2025A</v>
      </c>
      <c r="Z7" s="5" t="str">
        <f>$N$7</f>
        <v>CY2026E</v>
      </c>
      <c r="AA7" s="5" t="str">
        <f>$O$7</f>
        <v>CY2027E</v>
      </c>
      <c r="AB7" s="5" t="str">
        <f>$M$7</f>
        <v>CY2025A</v>
      </c>
      <c r="AC7" s="5" t="str">
        <f>$N$7</f>
        <v>CY2026E</v>
      </c>
      <c r="AD7" s="5" t="str">
        <f>$O$7</f>
        <v>CY2027E</v>
      </c>
      <c r="AE7" s="5" t="str">
        <f>$M$7</f>
        <v>CY2025A</v>
      </c>
      <c r="AF7" s="5" t="str">
        <f>$N$7</f>
        <v>CY2026E</v>
      </c>
      <c r="AG7" s="5" t="str">
        <f>$O$7</f>
        <v>CY2027E</v>
      </c>
      <c r="AH7" s="5" t="str">
        <f>$M$7</f>
        <v>CY2025A</v>
      </c>
      <c r="AI7" s="5" t="str">
        <f>$N$7</f>
        <v>CY2026E</v>
      </c>
      <c r="AJ7" s="5" t="s">
        <v>47</v>
      </c>
      <c r="AK7" s="5" t="s">
        <v>48</v>
      </c>
      <c r="AL7" s="33" t="s">
        <v>27</v>
      </c>
      <c r="AM7" s="71" t="s">
        <v>54</v>
      </c>
      <c r="AO7" s="5" t="s">
        <v>53</v>
      </c>
      <c r="AP7" s="5" t="str">
        <f>$F$4</f>
        <v>CY2025</v>
      </c>
      <c r="AQ7" s="5" t="str">
        <f>"CY"&amp;RIGHT(AP7,4)+1</f>
        <v>CY2026</v>
      </c>
      <c r="AR7" s="5" t="str">
        <f>"CY"&amp;RIGHT(AQ7,4)+1</f>
        <v>CY2027</v>
      </c>
      <c r="AT7" s="5" t="s">
        <v>53</v>
      </c>
      <c r="AU7" s="5" t="str">
        <f>$AP$7</f>
        <v>CY2025</v>
      </c>
      <c r="AV7" s="5" t="str">
        <f>$AQ$7</f>
        <v>CY2026</v>
      </c>
      <c r="AW7" s="5" t="str">
        <f>$AR$7</f>
        <v>CY2027</v>
      </c>
      <c r="AY7" s="5" t="str">
        <f>$AP$7</f>
        <v>CY2025</v>
      </c>
      <c r="AZ7" s="5" t="str">
        <f>$AQ$7</f>
        <v>CY2026</v>
      </c>
      <c r="BA7" s="5" t="str">
        <f>$AR$7</f>
        <v>CY2027</v>
      </c>
      <c r="BC7" s="5" t="str">
        <f>$AP$7</f>
        <v>CY2025</v>
      </c>
      <c r="BD7" s="5" t="str">
        <f>$AQ$7</f>
        <v>CY2026</v>
      </c>
      <c r="BE7" s="5" t="str">
        <f>$AR$7</f>
        <v>CY2027</v>
      </c>
      <c r="BG7" s="5" t="s">
        <v>27</v>
      </c>
      <c r="BH7" s="5" t="s">
        <v>20</v>
      </c>
      <c r="BI7" s="5" t="s">
        <v>22</v>
      </c>
      <c r="BJ7" s="5" t="s">
        <v>35</v>
      </c>
      <c r="BK7" s="5" t="s">
        <v>29</v>
      </c>
      <c r="BL7" s="5" t="s">
        <v>21</v>
      </c>
      <c r="BN7" s="5" t="str">
        <f>$AP$7</f>
        <v>CY2025</v>
      </c>
      <c r="BO7" s="5" t="str">
        <f>$AQ$7</f>
        <v>CY2026</v>
      </c>
      <c r="BP7" s="5" t="str">
        <f>$AR$7</f>
        <v>CY2027</v>
      </c>
      <c r="BR7" s="5" t="str">
        <f>$AP$7</f>
        <v>CY2025</v>
      </c>
      <c r="BS7" s="5" t="str">
        <f>$AQ$7</f>
        <v>CY2026</v>
      </c>
      <c r="BT7" s="5" t="str">
        <f>$AR$7</f>
        <v>CY2027</v>
      </c>
      <c r="BV7" s="5" t="str">
        <f>$AP$7</f>
        <v>CY2025</v>
      </c>
      <c r="BW7" s="5" t="str">
        <f>$AQ$7</f>
        <v>CY2026</v>
      </c>
      <c r="BX7" s="5" t="str">
        <f>$AR$7</f>
        <v>CY2027</v>
      </c>
      <c r="BZ7" s="5" t="str">
        <f>$AP$7</f>
        <v>CY2025</v>
      </c>
      <c r="CA7" s="5" t="str">
        <f>$AQ$7</f>
        <v>CY2026</v>
      </c>
      <c r="CB7" s="5" t="str">
        <f>$AR$7</f>
        <v>CY2027</v>
      </c>
      <c r="CD7" s="5" t="str">
        <f>$AP$7</f>
        <v>CY2025</v>
      </c>
      <c r="CE7" s="5" t="str">
        <f>$AQ$7</f>
        <v>CY2026</v>
      </c>
      <c r="CF7" s="5" t="str">
        <f>$AR$7</f>
        <v>CY2027</v>
      </c>
    </row>
    <row r="8" spans="2:84" ht="3" customHeight="1" x14ac:dyDescent="0.3">
      <c r="D8" s="1"/>
      <c r="E8" s="1"/>
      <c r="F8" s="1"/>
      <c r="G8" s="1"/>
      <c r="H8" s="1"/>
      <c r="I8" s="1"/>
      <c r="J8" s="1"/>
      <c r="K8" s="1"/>
      <c r="L8" s="1"/>
      <c r="M8" s="1"/>
      <c r="N8" s="1"/>
      <c r="O8" s="1"/>
      <c r="P8" s="1"/>
      <c r="Q8" s="1"/>
      <c r="R8" s="1"/>
      <c r="S8" s="1"/>
      <c r="T8" s="1"/>
      <c r="U8" s="1"/>
      <c r="V8" s="1"/>
      <c r="W8" s="1"/>
      <c r="X8" s="1"/>
      <c r="Y8" s="1"/>
      <c r="Z8" s="1"/>
      <c r="AA8" s="1"/>
      <c r="AB8" s="1"/>
      <c r="AC8" s="1"/>
      <c r="AD8" s="1"/>
      <c r="AE8" s="1"/>
      <c r="AF8" s="1"/>
      <c r="AG8" s="1"/>
      <c r="AH8" s="1"/>
      <c r="AI8" s="1"/>
      <c r="AJ8" s="1"/>
      <c r="AK8" s="1"/>
      <c r="AL8" s="1"/>
      <c r="AM8" s="1"/>
      <c r="AN8" s="1"/>
      <c r="AO8" s="1"/>
      <c r="AP8" s="1"/>
      <c r="AQ8" s="1"/>
      <c r="AR8" s="1"/>
      <c r="AS8" s="1"/>
      <c r="AT8" s="1"/>
      <c r="AU8" s="1"/>
      <c r="AV8" s="1"/>
      <c r="AW8" s="1"/>
      <c r="AX8" s="1"/>
      <c r="AY8" s="1"/>
      <c r="AZ8" s="1"/>
      <c r="BA8" s="1"/>
      <c r="BF8" s="1"/>
      <c r="BG8" s="1"/>
      <c r="BH8" s="1"/>
      <c r="BI8" s="1"/>
      <c r="BJ8" s="1"/>
      <c r="BK8" s="1"/>
      <c r="BL8" s="1"/>
      <c r="BM8" s="1"/>
      <c r="BN8" s="1"/>
      <c r="BO8" s="1"/>
      <c r="BP8" s="1"/>
      <c r="BQ8" s="1"/>
      <c r="BR8" s="1"/>
      <c r="BS8" s="1"/>
      <c r="BT8" s="1"/>
      <c r="BU8" s="1"/>
      <c r="BV8" s="1"/>
      <c r="BW8" s="1"/>
      <c r="BX8" s="1"/>
      <c r="BY8" s="1"/>
      <c r="BZ8" s="1"/>
      <c r="CA8" s="1"/>
      <c r="CB8" s="1"/>
      <c r="CC8" s="1"/>
      <c r="CD8" s="1"/>
      <c r="CE8" s="1"/>
      <c r="CF8" s="1"/>
    </row>
    <row r="9" spans="2:84" s="10" customFormat="1" ht="16.350000000000001" customHeight="1" x14ac:dyDescent="0.25">
      <c r="B9" s="75" t="s">
        <v>56</v>
      </c>
      <c r="D9" s="72" t="str">
        <f>+B9</f>
        <v>Group 1</v>
      </c>
    </row>
    <row r="10" spans="2:84" s="10" customFormat="1" ht="16.350000000000001" customHeight="1" x14ac:dyDescent="0.25">
      <c r="B10" s="35"/>
      <c r="D10" s="10" t="str" cm="1">
        <f t="array" ref="D10">IF($B10="","",_xll.SNL.Clients.Office.Excel.Functions.SPG($B10, "SP_COMPANY_NAME"))</f>
        <v/>
      </c>
      <c r="G10" s="12" t="str" cm="1">
        <f t="array" ref="G10">IF($B10="","",_xll.SNL.Clients.Office.Excel.Functions.SPG($B10,"SP_LASTSALEPRICE",WORKDAY($F$2+1,-1),"Options:Curr="&amp;I10&amp;",NA=--"))</f>
        <v/>
      </c>
      <c r="H10" s="13" t="str" cm="1">
        <f t="array" ref="H10">IF($B10="","",_xll.SNL.Clients.Office.Excel.Functions.SPG($B10,"SP_PRICE_CLOSE",WORKDAY($F$2+1,-1),"Options:Curr="&amp;$F$3&amp;", NA=--"))</f>
        <v/>
      </c>
      <c r="I10" s="41" t="str" cm="1">
        <f t="array" ref="I10">IF($B10="","",_xll.SNL.Clients.Office.Excel.Functions.SPG($B10,"SP_TRADING_CURRENCY","Options: NA=--"))</f>
        <v/>
      </c>
      <c r="J10" s="15" t="str" cm="1">
        <f t="array" ref="J10">IF($B10="","",_xll.SNL.Clients.Office.Excel.Functions.SPG($B10,"SP_MARKETCAP",WORKDAY($F$2+1,-1),"Options:Curr="&amp;$F$3&amp;", Mag=Millions, NA=--"))</f>
        <v/>
      </c>
      <c r="K10" s="15" t="str" cm="1">
        <f t="array" ref="K10">IF($B10="","",_xll.SNL.Clients.Office.Excel.Functions.SPG($B10,"IQ_TEV",WORKDAY($F$2+1,-1),"Options:Curr="&amp;$F$3&amp;", Mag=Millions, NA=--"))</f>
        <v/>
      </c>
      <c r="L10" s="16" t="str">
        <f>IFERROR(IF(OR($K10/AO10&gt;L$4,$K10/AO10&lt;L$3),"nmf ",$K10/AO10),"n/a ")</f>
        <v xml:space="preserve">n/a </v>
      </c>
      <c r="M10" s="16" t="str">
        <f>IFERROR(IF(OR($K10/AP10&gt;M$4,$K10/AP10&lt;M$3),"nmf ",$K10/AP10),"n/a ")</f>
        <v xml:space="preserve">n/a </v>
      </c>
      <c r="N10" s="16" t="str">
        <f>IFERROR(IF(OR($K10/AQ10&gt;N$4,$K10/AQ10&lt;N$3),"nmf ",$K10/AQ10),"n/a ")</f>
        <v xml:space="preserve">n/a </v>
      </c>
      <c r="O10" s="16" t="str">
        <f>IFERROR(IF(OR($K10/AR10&gt;O$4,$K10/AR10&lt;O$3),"nmf ",$K10/AR10),"n/a ")</f>
        <v xml:space="preserve">n/a </v>
      </c>
      <c r="P10" s="16" t="str">
        <f>IFERROR(IF(OR($K10/AT10&gt;P$4,$K10/AT10&lt;P$3),"nmf ",$K10/AT10),"n/a ")</f>
        <v xml:space="preserve">n/a </v>
      </c>
      <c r="Q10" s="16" t="str">
        <f>IFERROR(IF(OR($K10/AU10&gt;Q$4,$K10/AU10&lt;Q$3),"nmf ",$K10/AU10),"n/a ")</f>
        <v xml:space="preserve">n/a </v>
      </c>
      <c r="R10" s="16" t="str">
        <f>IFERROR(IF(OR($K10/AV10&gt;R$4,$K10/AV10&lt;R$3),"nmf ",$K10/AV10),"n/a ")</f>
        <v xml:space="preserve">n/a </v>
      </c>
      <c r="S10" s="16" t="str">
        <f>IFERROR(IF(OR($K10/AW10&gt;S$4,$K10/AW10&lt;S$3),"nmf ",$K10/AW10),"n/a ")</f>
        <v xml:space="preserve">n/a </v>
      </c>
      <c r="T10" s="34" t="str">
        <f>IFERROR((AQ10/AP10)-1,"n/a ")</f>
        <v xml:space="preserve">n/a </v>
      </c>
      <c r="U10" s="34" t="str">
        <f>IFERROR((AR10/AQ10)-1,"n/a ")</f>
        <v xml:space="preserve">n/a </v>
      </c>
      <c r="V10" s="16" t="str">
        <f>IFERROR(IF(OR($H10/AY10&gt;#REF!,$H10/AY10&lt;#REF!),"nmf ",$H10/AY10),"n/a ")</f>
        <v xml:space="preserve">n/a </v>
      </c>
      <c r="W10" s="16" t="str">
        <f>IFERROR(IF(OR($H10/AZ10&gt;#REF!,$H10/AZ10&lt;#REF!),"nmf ",$H10/AZ10),"n/a ")</f>
        <v xml:space="preserve">n/a </v>
      </c>
      <c r="X10" s="16" t="str">
        <f>IFERROR(IF(OR($H10/BA10&gt;#REF!,$H10/BA10&lt;#REF!),"nmf ",$H10/BA10),"n/a ")</f>
        <v xml:space="preserve">n/a </v>
      </c>
      <c r="Y10" s="16" t="str">
        <f>IFERROR(IF(OR($H10/BC10&gt;#REF!,$H10/BC10&lt;#REF!),"nmf ",$H10/BC10),"n/a ")</f>
        <v xml:space="preserve">n/a </v>
      </c>
      <c r="Z10" s="16" t="str">
        <f>IFERROR(IF(OR($H10/BD10&gt;#REF!,$H10/BD10&lt;#REF!),"nmf ",$H10/BD10),"n/a ")</f>
        <v xml:space="preserve">n/a </v>
      </c>
      <c r="AA10" s="16" t="str">
        <f>IFERROR(IF(OR($H10/BE10&gt;#REF!,$H10/BE10&lt;#REF!),"nmf ",$H10/BE10),"n/a ")</f>
        <v xml:space="preserve">n/a </v>
      </c>
      <c r="AB10" s="34" t="str">
        <f t="shared" ref="AB10:AF13" si="0">IFERROR((AS10/AR10)-1,"n/a ")</f>
        <v xml:space="preserve">n/a </v>
      </c>
      <c r="AC10" s="34" t="str">
        <f t="shared" si="0"/>
        <v xml:space="preserve">n/a </v>
      </c>
      <c r="AD10" s="34" t="str">
        <f t="shared" si="0"/>
        <v xml:space="preserve">n/a </v>
      </c>
      <c r="AE10" s="34" t="str">
        <f t="shared" si="0"/>
        <v xml:space="preserve">n/a </v>
      </c>
      <c r="AF10" s="34" t="str">
        <f t="shared" si="0"/>
        <v xml:space="preserve">n/a </v>
      </c>
      <c r="AG10" s="34" t="str">
        <f>IFERROR((BM10/AW10)-1,"n/a ")</f>
        <v xml:space="preserve">n/a </v>
      </c>
      <c r="AH10" s="34" t="str">
        <f>IFERROR((BN10/BM10)-1,"n/a ")</f>
        <v xml:space="preserve">n/a </v>
      </c>
      <c r="AI10" s="34" t="str">
        <f>IFERROR((BO10/BN10)-1,"n/a ")</f>
        <v xml:space="preserve">n/a </v>
      </c>
      <c r="AJ10" s="34" t="str">
        <f>IFERROR((BP10/BO10)-1,"n/a ")</f>
        <v xml:space="preserve">n/a </v>
      </c>
      <c r="AK10" s="34" t="str">
        <f>IFERROR((BQ10/BP10)-1,"n/a ")</f>
        <v xml:space="preserve">n/a </v>
      </c>
      <c r="AL10" s="34" t="str">
        <f>IFERROR((BR10/BQ10)-1,"n/a ")</f>
        <v xml:space="preserve">n/a </v>
      </c>
      <c r="AM10" s="73"/>
      <c r="AO10" s="20" t="str" cm="1">
        <f t="array" ref="AO10">IF($B10="","",_xll.SNL.Clients.Office.Excel.Functions.SPG($B10,"IQ_REV",AO$7,$F$2,"Options:Curr="&amp;$F$3&amp;", Mag=Millions, NA=--"))</f>
        <v/>
      </c>
      <c r="AP10" s="20" t="str" cm="1">
        <f t="array" ref="AP10">IF($B10="","",_xll.SNL.Clients.Office.Excel.Functions.SPG($B10,"SP_REV_EST",AP$7,$F$2,"Options:Curr="&amp;$F$3&amp;", Mag=Millions, NA=--"))</f>
        <v/>
      </c>
      <c r="AQ10" s="20" t="str" cm="1">
        <f t="array" ref="AQ10">IF($B10="","",_xll.SNL.Clients.Office.Excel.Functions.SPG($B10,"SP_REV_EST",AQ$7,$F$2,"Options:Curr="&amp;$F$3&amp;", Mag=Millions, NA=--"))</f>
        <v/>
      </c>
      <c r="AR10" s="20" t="str" cm="1">
        <f t="array" ref="AR10">IF($B10="","",_xll.SNL.Clients.Office.Excel.Functions.SPG($B10,"SP_REV_EST",AR$7,$F$2,"Options:Curr="&amp;$F$3&amp;", Mag=Millions, NA=--"))</f>
        <v/>
      </c>
      <c r="AT10" s="20" t="str" cm="1">
        <f t="array" ref="AT10">IF($B10="","",_xll.SNL.Clients.Office.Excel.Functions.SPG($B10,"SP_EBITDA",AT$7,$F$2,"Options:Curr="&amp;$F$3&amp;", Mag=Millions, NA=--"))</f>
        <v/>
      </c>
      <c r="AU10" s="20" t="str" cm="1">
        <f t="array" ref="AU10">IF($B10="","",_xll.SNL.Clients.Office.Excel.Functions.SPG($B10,"SP_EBITDA_EST",AU$7,$F$2,"Options:Curr="&amp;$F$3&amp;", Mag=Millions, NA=--"))</f>
        <v/>
      </c>
      <c r="AV10" s="20" t="str" cm="1">
        <f t="array" ref="AV10">IF($B10="","",_xll.SNL.Clients.Office.Excel.Functions.SPG($B10,"SP_EBITDA_EST",AV$7,$F$2,"Options:Curr="&amp;$F$3&amp;", Mag=Millions, NA=--"))</f>
        <v/>
      </c>
      <c r="AW10" s="20" t="str" cm="1">
        <f t="array" ref="AW10">IF($B10="","",_xll.SNL.Clients.Office.Excel.Functions.SPG($B10,"SP_EBITDA_EST",AW$7,$F$2,"Options:Curr="&amp;$F$3&amp;", Mag=Millions, NA=--"))</f>
        <v/>
      </c>
      <c r="AY10" s="13" t="str" cm="1">
        <f t="array" ref="AY10">IF($B10="","",_xll.SNL.Clients.Office.Excel.Functions.SPG($B10,"SP_EPS_EST",AY$7,$F$2,"Options:Curr="&amp;$F$3&amp;", NA=--"))</f>
        <v/>
      </c>
      <c r="AZ10" s="13" t="str" cm="1">
        <f t="array" ref="AZ10">IF($B10="","",_xll.SNL.Clients.Office.Excel.Functions.SPG($B10,"SP_EPS_EST",AZ$7,$F$2,"Options:Curr="&amp;$F$3&amp;", NA=--"))</f>
        <v/>
      </c>
      <c r="BA10" s="13" t="str" cm="1">
        <f t="array" ref="BA10">IF($B10="","",_xll.SNL.Clients.Office.Excel.Functions.SPG($B10,"SP_EPS_EST",BA$7,$F$2,"Options:Curr="&amp;$F$3&amp;", NA=--"))</f>
        <v/>
      </c>
      <c r="BC10" s="13" t="str" cm="1">
        <f t="array" ref="BC10">IF($B10="","",_xll.SNL.Clients.Office.Excel.Functions.SPG($B10,"SP_CFPS_EST",BC$7,$F$2,"Options:Curr="&amp;$F$3&amp;", NA=--"))</f>
        <v/>
      </c>
      <c r="BD10" s="13" t="str" cm="1">
        <f t="array" ref="BD10">IF($B10="","",_xll.SNL.Clients.Office.Excel.Functions.SPG($B10,"SP_CFPS_EST",BD$7,$F$2,"Options:Curr="&amp;$F$3&amp;", NA=--"))</f>
        <v/>
      </c>
      <c r="BE10" s="13" t="str" cm="1">
        <f t="array" ref="BE10">IF($B10="","",_xll.SNL.Clients.Office.Excel.Functions.SPG($B10,"SP_CFPS_EST",BE$7,$F$2,"Options:Curr="&amp;$F$3&amp;", NA=--"))</f>
        <v/>
      </c>
      <c r="BG10" s="66" t="str" cm="1">
        <f t="array" ref="BG10">IF($B10="","",_xll.SNL.Clients.Office.Excel.Functions.SPG($B10,"SP_DIV_YIELD",WORKDAY($F$2+1,-1),"Options: NA=--"))</f>
        <v/>
      </c>
      <c r="BH10" s="19" t="str" cm="1">
        <f t="array" ref="BH10">IF($B10="","",_xll.SNL.Clients.Office.Excel.Functions.SPG($B10,"IQ_TOTAL_EQUITY","FQ0",$F$2,"Options:Curr="&amp;$F$3&amp;", Mag=Millions, NA=--"))</f>
        <v/>
      </c>
      <c r="BI10" s="19" t="str" cm="1">
        <f t="array" ref="BI10">IF($B10="","",_xll.SNL.Clients.Office.Excel.Functions.SPG($B10,"IQ_TOTAL_DEBT","FQ0",$F$2,"Options:Curr="&amp;$F$3&amp;", Mag=Millions, NA=--"))</f>
        <v/>
      </c>
      <c r="BJ10" s="19" t="str" cm="1">
        <f t="array" ref="BJ10">IF($B10="","",_xll.SNL.Clients.Office.Excel.Functions.SPG($B10,"IQ_CASH_ST_INVEST","FQ0",$F$2,"Options:Curr="&amp;$F$3&amp;", Mag=Millions, NA=--"))</f>
        <v/>
      </c>
      <c r="BK10" s="38" t="e">
        <f>+BI10-BJ10</f>
        <v>#VALUE!</v>
      </c>
      <c r="BL10" s="19" t="str" cm="1">
        <f t="array" ref="BL10">IF($B10="","",_xll.SNL.Clients.Office.Excel.Functions.SPG($B10,"IQ_TOTAL_EQUITY","FQ0",$F$2,"Options:Curr="&amp;$F$3&amp;", Mag=Millions, NA=--"))</f>
        <v/>
      </c>
      <c r="BN10" s="20" t="str">
        <f>IFERROR($AP10*$BR10,"n/a")</f>
        <v>n/a</v>
      </c>
      <c r="BO10" s="20" t="str">
        <f>IFERROR($AQ10*BS10,"n/a")</f>
        <v>n/a</v>
      </c>
      <c r="BP10" s="20" t="str">
        <f>IFERROR($AR10*$BT10,"n/a")</f>
        <v>n/a</v>
      </c>
      <c r="BR10" s="45" t="str">
        <f>IF($B10="","",IFERROR(_xll.SNL.Clients.Office.Excel.Functions.SPG($B10,"SP_GROSS_MARGIN_EST",BR$7,$F$2,"Options: NA=--")/100,"--"))</f>
        <v/>
      </c>
      <c r="BS10" s="45" t="str">
        <f>IF($B10="","",IFERROR(_xll.SNL.Clients.Office.Excel.Functions.SPG($B10,"SP_GROSS_MARGIN_EST",BS$7,$F$2,"Options: NA=--")/100,"--"))</f>
        <v/>
      </c>
      <c r="BT10" s="45" t="str">
        <f>IF($B10="","",IFERROR(_xll.SNL.Clients.Office.Excel.Functions.SPG($B10,"SP_GROSS_MARGIN_EST",BT$7,$F$2,"Options: NA=--")/100,"--"))</f>
        <v/>
      </c>
      <c r="BU10" s="46"/>
      <c r="BV10" s="48" t="str" cm="1">
        <f t="array" ref="BV10">IF($B10="","",_xll.SNL.Clients.Office.Excel.Functions.SPG($B10,"SP_GROSS_MARGIN_NUM_EST",BV$7,$F$2,"Options: NA=--"))</f>
        <v/>
      </c>
      <c r="BW10" s="48" t="str" cm="1">
        <f t="array" ref="BW10">IF($B10="","",_xll.SNL.Clients.Office.Excel.Functions.SPG($B10,"SP_GROSS_MARGIN_NUM_EST",BW$7,$F$2,"Options: NA=--"))</f>
        <v/>
      </c>
      <c r="BX10" s="48" t="str" cm="1">
        <f t="array" ref="BX10">IF($B10="","",_xll.SNL.Clients.Office.Excel.Functions.SPG($B10,"SP_GROSS_MARGIN_NUM_EST",BX$7,$F$2,"Options: NA=--"))</f>
        <v/>
      </c>
      <c r="BZ10" s="63" t="str">
        <f>IFERROR(IF(CD10/AP10&lt;0,"nmf ",CD10/AP10),"n/a ")</f>
        <v xml:space="preserve">n/a </v>
      </c>
      <c r="CA10" s="63" t="str">
        <f>IFERROR(IF(CE10/AQ10&lt;0,"nmf ",CE10/AQ10),"n/a ")</f>
        <v xml:space="preserve">n/a </v>
      </c>
      <c r="CB10" s="63" t="str">
        <f>IFERROR(IF(CF10/AR10&lt;0,"nmf ",CF10/AR10),"n/a ")</f>
        <v xml:space="preserve">n/a </v>
      </c>
      <c r="CD10" s="69" t="str">
        <f>IFERROR(BR10*AP10,"--")</f>
        <v>--</v>
      </c>
      <c r="CE10" s="20" t="str">
        <f>IFERROR(BS10*AQ10,"--")</f>
        <v>--</v>
      </c>
      <c r="CF10" s="20" t="str">
        <f>IFERROR(BT10*AR10,"--")</f>
        <v>--</v>
      </c>
    </row>
    <row r="11" spans="2:84" s="10" customFormat="1" ht="16.350000000000001" customHeight="1" x14ac:dyDescent="0.25">
      <c r="B11" s="35"/>
      <c r="D11" s="10" t="str" cm="1">
        <f t="array" ref="D11">IF($B11="","",_xll.SNL.Clients.Office.Excel.Functions.SPG($B11, "SP_COMPANY_NAME"))</f>
        <v/>
      </c>
      <c r="G11" s="12" t="str" cm="1">
        <f t="array" ref="G11">IF($B11="","",_xll.SNL.Clients.Office.Excel.Functions.SPG($B11,"SP_LASTSALEPRICE",WORKDAY($F$2+1,-1),"Options:Curr="&amp;I11&amp;",NA=--"))</f>
        <v/>
      </c>
      <c r="H11" s="13" t="str" cm="1">
        <f t="array" ref="H11">IF($B11="","",_xll.SNL.Clients.Office.Excel.Functions.SPG($B11,"SP_PRICE_CLOSE",WORKDAY($F$2+1,-1),"Options:Curr="&amp;$F$3&amp;", NA=--"))</f>
        <v/>
      </c>
      <c r="I11" s="41" t="str" cm="1">
        <f t="array" ref="I11">IF($B11="","",_xll.SNL.Clients.Office.Excel.Functions.SPG($B11,"SP_TRADING_CURRENCY","Options: NA=--"))</f>
        <v/>
      </c>
      <c r="J11" s="15" t="str" cm="1">
        <f t="array" ref="J11">IF($B11="","",_xll.SNL.Clients.Office.Excel.Functions.SPG($B11,"SP_MARKETCAP",WORKDAY($F$2+1,-1),"Options:Curr="&amp;$F$3&amp;", Mag=Millions, NA=--"))</f>
        <v/>
      </c>
      <c r="K11" s="15" t="str" cm="1">
        <f t="array" ref="K11">IF($B11="","",_xll.SNL.Clients.Office.Excel.Functions.SPG($B11,"IQ_TEV",WORKDAY($F$2+1,-1),"Options:Curr="&amp;$F$3&amp;", Mag=Millions, NA=--"))</f>
        <v/>
      </c>
      <c r="L11" s="16" t="str">
        <f>IFERROR(IF(OR($K11/AO11&gt;L$4,$K11/AO11&lt;L$3),"nmf ",$K11/AO11),"n/a ")</f>
        <v xml:space="preserve">n/a </v>
      </c>
      <c r="M11" s="16" t="str">
        <f>IFERROR(IF(OR($K11/AP11&gt;M$4,$K11/AP11&lt;M$3),"nmf ",$K11/AP11),"n/a ")</f>
        <v xml:space="preserve">n/a </v>
      </c>
      <c r="N11" s="16" t="str">
        <f>IFERROR(IF(OR($K11/AQ11&gt;N$4,$K11/AQ11&lt;N$3),"nmf ",$K11/AQ11),"n/a ")</f>
        <v xml:space="preserve">n/a </v>
      </c>
      <c r="O11" s="16" t="str">
        <f>IFERROR(IF(OR($K11/AR11&gt;O$4,$K11/AR11&lt;O$3),"nmf ",$K11/AR11),"n/a ")</f>
        <v xml:space="preserve">n/a </v>
      </c>
      <c r="P11" s="16" t="str">
        <f>IFERROR(IF(OR($K11/AT11&gt;P$4,$K11/AT11&lt;P$3),"nmf ",$K11/AT11),"n/a ")</f>
        <v xml:space="preserve">n/a </v>
      </c>
      <c r="Q11" s="16" t="str">
        <f>IFERROR(IF(OR($K11/AU11&gt;Q$4,$K11/AU11&lt;Q$3),"nmf ",$K11/AU11),"n/a ")</f>
        <v xml:space="preserve">n/a </v>
      </c>
      <c r="R11" s="16" t="str">
        <f>IFERROR(IF(OR($K11/AV11&gt;R$4,$K11/AV11&lt;R$3),"nmf ",$K11/AV11),"n/a ")</f>
        <v xml:space="preserve">n/a </v>
      </c>
      <c r="S11" s="16" t="str">
        <f>IFERROR(IF(OR($K11/AW11&gt;S$4,$K11/AW11&lt;S$3),"nmf ",$K11/AW11),"n/a ")</f>
        <v xml:space="preserve">n/a </v>
      </c>
      <c r="T11" s="34" t="str">
        <f t="shared" ref="T11" si="1">IFERROR((AQ11/AP11)-1,"n/a ")</f>
        <v xml:space="preserve">n/a </v>
      </c>
      <c r="U11" s="34" t="str">
        <f t="shared" ref="U11" si="2">IFERROR((AR11/AQ11)-1,"n/a ")</f>
        <v xml:space="preserve">n/a </v>
      </c>
      <c r="V11" s="16" t="str">
        <f>IFERROR(IF(OR($H11/AY11&gt;#REF!,$H11/AY11&lt;#REF!),"nmf ",$H11/AY11),"n/a ")</f>
        <v xml:space="preserve">n/a </v>
      </c>
      <c r="W11" s="16" t="str">
        <f>IFERROR(IF(OR($H11/AZ11&gt;#REF!,$H11/AZ11&lt;#REF!),"nmf ",$H11/AZ11),"n/a ")</f>
        <v xml:space="preserve">n/a </v>
      </c>
      <c r="X11" s="16" t="str">
        <f>IFERROR(IF(OR($H11/BA11&gt;#REF!,$H11/BA11&lt;#REF!),"nmf ",$H11/BA11),"n/a ")</f>
        <v xml:space="preserve">n/a </v>
      </c>
      <c r="Y11" s="16" t="str">
        <f>IFERROR(IF(OR($H11/BC11&gt;#REF!,$H11/BC11&lt;#REF!),"nmf ",$H11/BC11),"n/a ")</f>
        <v xml:space="preserve">n/a </v>
      </c>
      <c r="Z11" s="16" t="str">
        <f>IFERROR(IF(OR($H11/BD11&gt;#REF!,$H11/BD11&lt;#REF!),"nmf ",$H11/BD11),"n/a ")</f>
        <v xml:space="preserve">n/a </v>
      </c>
      <c r="AA11" s="16" t="str">
        <f>IFERROR(IF(OR($H11/BE11&gt;#REF!,$H11/BE11&lt;#REF!),"nmf ",$H11/BE11),"n/a ")</f>
        <v xml:space="preserve">n/a </v>
      </c>
      <c r="AB11" s="34" t="str">
        <f t="shared" si="0"/>
        <v xml:space="preserve">n/a </v>
      </c>
      <c r="AC11" s="34" t="str">
        <f t="shared" si="0"/>
        <v xml:space="preserve">n/a </v>
      </c>
      <c r="AD11" s="34" t="str">
        <f t="shared" si="0"/>
        <v xml:space="preserve">n/a </v>
      </c>
      <c r="AE11" s="34" t="str">
        <f t="shared" si="0"/>
        <v xml:space="preserve">n/a </v>
      </c>
      <c r="AF11" s="34" t="str">
        <f t="shared" si="0"/>
        <v xml:space="preserve">n/a </v>
      </c>
      <c r="AG11" s="34" t="str">
        <f>IFERROR((BM11/AW11)-1,"n/a ")</f>
        <v xml:space="preserve">n/a </v>
      </c>
      <c r="AH11" s="34" t="str">
        <f>IFERROR((BN11/BM11)-1,"n/a ")</f>
        <v xml:space="preserve">n/a </v>
      </c>
      <c r="AI11" s="34" t="str">
        <f>IFERROR((BO11/BN11)-1,"n/a ")</f>
        <v xml:space="preserve">n/a </v>
      </c>
      <c r="AJ11" s="34" t="str">
        <f>IFERROR((BP11/BO11)-1,"n/a ")</f>
        <v xml:space="preserve">n/a </v>
      </c>
      <c r="AK11" s="34" t="str">
        <f>IFERROR((BQ11/BP11)-1,"n/a ")</f>
        <v xml:space="preserve">n/a </v>
      </c>
      <c r="AL11" s="34" t="str">
        <f>IFERROR((BR11/BQ11)-1,"n/a ")</f>
        <v xml:space="preserve">n/a </v>
      </c>
      <c r="AM11" s="73"/>
      <c r="AO11" s="20" t="str" cm="1">
        <f t="array" ref="AO11">IF($B11="","",_xll.SNL.Clients.Office.Excel.Functions.SPG($B11,"IQ_REV",AO$7,$F$2,"Options:Curr="&amp;$F$3&amp;", Mag=Millions, NA=--"))</f>
        <v/>
      </c>
      <c r="AP11" s="20" t="str" cm="1">
        <f t="array" ref="AP11">IF($B11="","",_xll.SNL.Clients.Office.Excel.Functions.SPG($B11,"SP_REV_EST",AP$7,$F$2,"Options:Curr="&amp;$F$3&amp;", Mag=Millions, NA=--"))</f>
        <v/>
      </c>
      <c r="AQ11" s="20" t="str" cm="1">
        <f t="array" ref="AQ11">IF($B11="","",_xll.SNL.Clients.Office.Excel.Functions.SPG($B11,"SP_REV_EST",AQ$7,$F$2,"Options:Curr="&amp;$F$3&amp;", Mag=Millions, NA=--"))</f>
        <v/>
      </c>
      <c r="AR11" s="20" t="str" cm="1">
        <f t="array" ref="AR11">IF($B11="","",_xll.SNL.Clients.Office.Excel.Functions.SPG($B11,"SP_REV_EST",AR$7,$F$2,"Options:Curr="&amp;$F$3&amp;", Mag=Millions, NA=--"))</f>
        <v/>
      </c>
      <c r="AT11" s="20" t="str" cm="1">
        <f t="array" ref="AT11">IF($B11="","",_xll.SNL.Clients.Office.Excel.Functions.SPG($B11,"SP_EBITDA",AT$7,$F$2,"Options:Curr="&amp;$F$3&amp;", Mag=Millions, NA=--"))</f>
        <v/>
      </c>
      <c r="AU11" s="20" t="str" cm="1">
        <f t="array" ref="AU11">IF($B11="","",_xll.SNL.Clients.Office.Excel.Functions.SPG($B11,"SP_EBITDA_EST",AU$7,$F$2,"Options:Curr="&amp;$F$3&amp;", Mag=Millions, NA=--"))</f>
        <v/>
      </c>
      <c r="AV11" s="20" t="str" cm="1">
        <f t="array" ref="AV11">IF($B11="","",_xll.SNL.Clients.Office.Excel.Functions.SPG($B11,"SP_EBITDA_EST",AV$7,$F$2,"Options:Curr="&amp;$F$3&amp;", Mag=Millions, NA=--"))</f>
        <v/>
      </c>
      <c r="AW11" s="20" t="str" cm="1">
        <f t="array" ref="AW11">IF($B11="","",_xll.SNL.Clients.Office.Excel.Functions.SPG($B11,"SP_EBITDA_EST",AW$7,$F$2,"Options:Curr="&amp;$F$3&amp;", Mag=Millions, NA=--"))</f>
        <v/>
      </c>
      <c r="AY11" s="13" t="str" cm="1">
        <f t="array" ref="AY11">IF($B11="","",_xll.SNL.Clients.Office.Excel.Functions.SPG($B11,"SP_EPS_EST",AY$7,$F$2,"Options:Curr="&amp;$F$3&amp;", NA=--"))</f>
        <v/>
      </c>
      <c r="AZ11" s="13" t="str" cm="1">
        <f t="array" ref="AZ11">IF($B11="","",_xll.SNL.Clients.Office.Excel.Functions.SPG($B11,"SP_EPS_EST",AZ$7,$F$2,"Options:Curr="&amp;$F$3&amp;", NA=--"))</f>
        <v/>
      </c>
      <c r="BA11" s="13" t="str" cm="1">
        <f t="array" ref="BA11">IF($B11="","",_xll.SNL.Clients.Office.Excel.Functions.SPG($B11,"SP_EPS_EST",BA$7,$F$2,"Options:Curr="&amp;$F$3&amp;", NA=--"))</f>
        <v/>
      </c>
      <c r="BC11" s="13" t="str" cm="1">
        <f t="array" ref="BC11">IF($B11="","",_xll.SNL.Clients.Office.Excel.Functions.SPG($B11,"SP_CFPS_EST",BC$7,$F$2,"Options:Curr="&amp;$F$3&amp;", NA=--"))</f>
        <v/>
      </c>
      <c r="BD11" s="13" t="str" cm="1">
        <f t="array" ref="BD11">IF($B11="","",_xll.SNL.Clients.Office.Excel.Functions.SPG($B11,"SP_CFPS_EST",BD$7,$F$2,"Options:Curr="&amp;$F$3&amp;", NA=--"))</f>
        <v/>
      </c>
      <c r="BE11" s="13" t="str" cm="1">
        <f t="array" ref="BE11">IF($B11="","",_xll.SNL.Clients.Office.Excel.Functions.SPG($B11,"SP_CFPS_EST",BE$7,$F$2,"Options:Curr="&amp;$F$3&amp;", NA=--"))</f>
        <v/>
      </c>
      <c r="BG11" s="66" t="str" cm="1">
        <f t="array" ref="BG11">IF($B11="","",_xll.SNL.Clients.Office.Excel.Functions.SPG($B11,"SP_DIV_YIELD",WORKDAY($F$2+1,-1),"Options: NA=--"))</f>
        <v/>
      </c>
      <c r="BH11" s="19" t="str" cm="1">
        <f t="array" ref="BH11">IF($B11="","",_xll.SNL.Clients.Office.Excel.Functions.SPG($B11,"IQ_TOTAL_EQUITY","FQ0",$F$2,"Options:Curr="&amp;$F$3&amp;", Mag=Millions, NA=--"))</f>
        <v/>
      </c>
      <c r="BI11" s="19" t="str" cm="1">
        <f t="array" ref="BI11">IF($B11="","",_xll.SNL.Clients.Office.Excel.Functions.SPG($B11,"IQ_TOTAL_DEBT","FQ0",$F$2,"Options:Curr="&amp;$F$3&amp;", Mag=Millions, NA=--"))</f>
        <v/>
      </c>
      <c r="BJ11" s="19" t="str" cm="1">
        <f t="array" ref="BJ11">IF($B11="","",_xll.SNL.Clients.Office.Excel.Functions.SPG($B11,"IQ_CASH_ST_INVEST","FQ0",$F$2,"Options:Curr="&amp;$F$3&amp;", Mag=Millions, NA=--"))</f>
        <v/>
      </c>
      <c r="BK11" s="38" t="e">
        <f t="shared" ref="BK11" si="3">+BI11-BJ11</f>
        <v>#VALUE!</v>
      </c>
      <c r="BL11" s="19" t="str" cm="1">
        <f t="array" ref="BL11">IF($B11="","",_xll.SNL.Clients.Office.Excel.Functions.SPG($B11,"IQ_TOTAL_EQUITY","FQ0",$F$2,"Options:Curr="&amp;$F$3&amp;", Mag=Millions, NA=--"))</f>
        <v/>
      </c>
      <c r="BN11" s="20" t="str">
        <f>IFERROR($AP11*$BR11,"n/a")</f>
        <v>n/a</v>
      </c>
      <c r="BO11" s="20" t="str">
        <f t="shared" ref="BO11" si="4">IFERROR($AQ11*BS11,"n/a")</f>
        <v>n/a</v>
      </c>
      <c r="BP11" s="20" t="str">
        <f>IFERROR($AR11*$BT11,"n/a")</f>
        <v>n/a</v>
      </c>
      <c r="BR11" s="45" t="str">
        <f>IF($B11="","",IFERROR(_xll.SNL.Clients.Office.Excel.Functions.SPG($B11,"SP_GROSS_MARGIN_EST",BR$7,$F$2,"Options: NA=--")/100,"--"))</f>
        <v/>
      </c>
      <c r="BS11" s="45" t="str">
        <f>IF($B11="","",IFERROR(_xll.SNL.Clients.Office.Excel.Functions.SPG($B11,"SP_GROSS_MARGIN_EST",BS$7,$F$2,"Options: NA=--")/100,"--"))</f>
        <v/>
      </c>
      <c r="BT11" s="45" t="str">
        <f>IF($B11="","",IFERROR(_xll.SNL.Clients.Office.Excel.Functions.SPG($B11,"SP_GROSS_MARGIN_EST",BT$7,$F$2,"Options: NA=--")/100,"--"))</f>
        <v/>
      </c>
      <c r="BU11" s="46"/>
      <c r="BV11" s="48" t="str" cm="1">
        <f t="array" ref="BV11">IF($B11="","",_xll.SNL.Clients.Office.Excel.Functions.SPG($B11,"SP_GROSS_MARGIN_NUM_EST",BV$7,$F$2,"Options: NA=--"))</f>
        <v/>
      </c>
      <c r="BW11" s="48" t="str" cm="1">
        <f t="array" ref="BW11">IF($B11="","",_xll.SNL.Clients.Office.Excel.Functions.SPG($B11,"SP_GROSS_MARGIN_NUM_EST",BW$7,$F$2,"Options: NA=--"))</f>
        <v/>
      </c>
      <c r="BX11" s="48" t="str" cm="1">
        <f t="array" ref="BX11">IF($B11="","",_xll.SNL.Clients.Office.Excel.Functions.SPG($B11,"SP_GROSS_MARGIN_NUM_EST",BX$7,$F$2,"Options: NA=--"))</f>
        <v/>
      </c>
      <c r="BZ11" s="63" t="str">
        <f>IFERROR(IF(CD11/AP11&lt;0,"nmf ",CD11/AP11),"n/a ")</f>
        <v xml:space="preserve">n/a </v>
      </c>
      <c r="CA11" s="63" t="str">
        <f>IFERROR(IF(CE11/AQ11&lt;0,"nmf ",CE11/AQ11),"n/a ")</f>
        <v xml:space="preserve">n/a </v>
      </c>
      <c r="CB11" s="63" t="str">
        <f>IFERROR(IF(CF11/AR11&lt;0,"nmf ",CF11/AR11),"n/a ")</f>
        <v xml:space="preserve">n/a </v>
      </c>
      <c r="CD11" s="69" t="str">
        <f>IFERROR(BR11*AP11,"--")</f>
        <v>--</v>
      </c>
      <c r="CE11" s="20" t="str">
        <f>IFERROR(BS11*AQ11,"--")</f>
        <v>--</v>
      </c>
      <c r="CF11" s="20" t="str">
        <f>IFERROR(BT11*AR11,"--")</f>
        <v>--</v>
      </c>
    </row>
    <row r="12" spans="2:84" s="10" customFormat="1" ht="16.350000000000001" customHeight="1" x14ac:dyDescent="0.25">
      <c r="B12" s="35"/>
      <c r="D12" s="10" t="str" cm="1">
        <f t="array" ref="D12">IF($B12="","",_xll.SNL.Clients.Office.Excel.Functions.SPG($B12, "SP_COMPANY_NAME"))</f>
        <v/>
      </c>
      <c r="G12" s="12" t="str" cm="1">
        <f t="array" ref="G12">IF($B12="","",_xll.SNL.Clients.Office.Excel.Functions.SPG($B12,"SP_LASTSALEPRICE",WORKDAY($F$2+1,-1),"Options:Curr="&amp;I12&amp;",NA=--"))</f>
        <v/>
      </c>
      <c r="H12" s="13" t="str" cm="1">
        <f t="array" ref="H12">IF($B12="","",_xll.SNL.Clients.Office.Excel.Functions.SPG($B12,"SP_PRICE_CLOSE",WORKDAY($F$2+1,-1),"Options:Curr="&amp;$F$3&amp;", NA=--"))</f>
        <v/>
      </c>
      <c r="I12" s="41" t="str" cm="1">
        <f t="array" ref="I12">IF($B12="","",_xll.SNL.Clients.Office.Excel.Functions.SPG($B12,"SP_TRADING_CURRENCY","Options: NA=--"))</f>
        <v/>
      </c>
      <c r="J12" s="15" t="str" cm="1">
        <f t="array" ref="J12">IF($B12="","",_xll.SNL.Clients.Office.Excel.Functions.SPG($B12,"SP_MARKETCAP",WORKDAY($F$2+1,-1),"Options:Curr="&amp;$F$3&amp;", Mag=Millions, NA=--"))</f>
        <v/>
      </c>
      <c r="K12" s="15" t="str" cm="1">
        <f t="array" ref="K12">IF($B12="","",_xll.SNL.Clients.Office.Excel.Functions.SPG($B12,"IQ_TEV",WORKDAY($F$2+1,-1),"Options:Curr="&amp;$F$3&amp;", Mag=Millions, NA=--"))</f>
        <v/>
      </c>
      <c r="L12" s="16" t="str">
        <f>IFERROR(IF(OR($K12/AO12&gt;L$4,$K12/AO12&lt;L$3),"nmf ",$K12/AO12),"n/a ")</f>
        <v xml:space="preserve">n/a </v>
      </c>
      <c r="M12" s="16" t="str">
        <f>IFERROR(IF(OR($K12/AP12&gt;M$4,$K12/AP12&lt;M$3),"nmf ",$K12/AP12),"n/a ")</f>
        <v xml:space="preserve">n/a </v>
      </c>
      <c r="N12" s="16" t="str">
        <f>IFERROR(IF(OR($K12/AQ12&gt;N$4,$K12/AQ12&lt;N$3),"nmf ",$K12/AQ12),"n/a ")</f>
        <v xml:space="preserve">n/a </v>
      </c>
      <c r="O12" s="16" t="str">
        <f>IFERROR(IF(OR($K12/AR12&gt;O$4,$K12/AR12&lt;O$3),"nmf ",$K12/AR12),"n/a ")</f>
        <v xml:space="preserve">n/a </v>
      </c>
      <c r="P12" s="16" t="str">
        <f>IFERROR(IF(OR($K12/AT12&gt;P$4,$K12/AT12&lt;P$3),"nmf ",$K12/AT12),"n/a ")</f>
        <v xml:space="preserve">n/a </v>
      </c>
      <c r="Q12" s="16" t="str">
        <f>IFERROR(IF(OR($K12/AU12&gt;Q$4,$K12/AU12&lt;Q$3),"nmf ",$K12/AU12),"n/a ")</f>
        <v xml:space="preserve">n/a </v>
      </c>
      <c r="R12" s="16" t="str">
        <f>IFERROR(IF(OR($K12/AV12&gt;R$4,$K12/AV12&lt;R$3),"nmf ",$K12/AV12),"n/a ")</f>
        <v xml:space="preserve">n/a </v>
      </c>
      <c r="S12" s="16" t="str">
        <f>IFERROR(IF(OR($K12/AW12&gt;S$4,$K12/AW12&lt;S$3),"nmf ",$K12/AW12),"n/a ")</f>
        <v xml:space="preserve">n/a </v>
      </c>
      <c r="T12" s="34" t="str">
        <f t="shared" ref="T12" si="5">IFERROR((AQ12/AP12)-1,"n/a ")</f>
        <v xml:space="preserve">n/a </v>
      </c>
      <c r="U12" s="34" t="str">
        <f t="shared" ref="U12" si="6">IFERROR((AR12/AQ12)-1,"n/a ")</f>
        <v xml:space="preserve">n/a </v>
      </c>
      <c r="V12" s="16" t="str">
        <f>IFERROR(IF(OR($H12/AY12&gt;#REF!,$H12/AY12&lt;#REF!),"nmf ",$H12/AY12),"n/a ")</f>
        <v xml:space="preserve">n/a </v>
      </c>
      <c r="W12" s="16" t="str">
        <f>IFERROR(IF(OR($H12/AZ12&gt;#REF!,$H12/AZ12&lt;#REF!),"nmf ",$H12/AZ12),"n/a ")</f>
        <v xml:space="preserve">n/a </v>
      </c>
      <c r="X12" s="16" t="str">
        <f>IFERROR(IF(OR($H12/BA12&gt;#REF!,$H12/BA12&lt;#REF!),"nmf ",$H12/BA12),"n/a ")</f>
        <v xml:space="preserve">n/a </v>
      </c>
      <c r="Y12" s="16" t="str">
        <f>IFERROR(IF(OR($H12/BC12&gt;#REF!,$H12/BC12&lt;#REF!),"nmf ",$H12/BC12),"n/a ")</f>
        <v xml:space="preserve">n/a </v>
      </c>
      <c r="Z12" s="16" t="str">
        <f>IFERROR(IF(OR($H12/BD12&gt;#REF!,$H12/BD12&lt;#REF!),"nmf ",$H12/BD12),"n/a ")</f>
        <v xml:space="preserve">n/a </v>
      </c>
      <c r="AA12" s="16" t="str">
        <f>IFERROR(IF(OR($H12/BE12&gt;#REF!,$H12/BE12&lt;#REF!),"nmf ",$H12/BE12),"n/a ")</f>
        <v xml:space="preserve">n/a </v>
      </c>
      <c r="AB12" s="34" t="str">
        <f t="shared" si="0"/>
        <v xml:space="preserve">n/a </v>
      </c>
      <c r="AC12" s="34" t="str">
        <f t="shared" si="0"/>
        <v xml:space="preserve">n/a </v>
      </c>
      <c r="AD12" s="34" t="str">
        <f t="shared" si="0"/>
        <v xml:space="preserve">n/a </v>
      </c>
      <c r="AE12" s="34" t="str">
        <f t="shared" si="0"/>
        <v xml:space="preserve">n/a </v>
      </c>
      <c r="AF12" s="34" t="str">
        <f t="shared" si="0"/>
        <v xml:space="preserve">n/a </v>
      </c>
      <c r="AG12" s="34" t="str">
        <f>IFERROR((BM12/AW12)-1,"n/a ")</f>
        <v xml:space="preserve">n/a </v>
      </c>
      <c r="AH12" s="34" t="str">
        <f>IFERROR((BN12/BM12)-1,"n/a ")</f>
        <v xml:space="preserve">n/a </v>
      </c>
      <c r="AI12" s="34" t="str">
        <f>IFERROR((BO12/BN12)-1,"n/a ")</f>
        <v xml:space="preserve">n/a </v>
      </c>
      <c r="AJ12" s="34" t="str">
        <f>IFERROR((BP12/BO12)-1,"n/a ")</f>
        <v xml:space="preserve">n/a </v>
      </c>
      <c r="AK12" s="34" t="str">
        <f>IFERROR((BQ12/BP12)-1,"n/a ")</f>
        <v xml:space="preserve">n/a </v>
      </c>
      <c r="AL12" s="34" t="str">
        <f>IFERROR((BR12/BQ12)-1,"n/a ")</f>
        <v xml:space="preserve">n/a </v>
      </c>
      <c r="AM12" s="73"/>
      <c r="AO12" s="20" t="str" cm="1">
        <f t="array" ref="AO12">IF($B12="","",_xll.SNL.Clients.Office.Excel.Functions.SPG($B12,"IQ_REV",AO$7,$F$2,"Options:Curr="&amp;$F$3&amp;", Mag=Millions, NA=--"))</f>
        <v/>
      </c>
      <c r="AP12" s="20" t="str" cm="1">
        <f t="array" ref="AP12">IF($B12="","",_xll.SNL.Clients.Office.Excel.Functions.SPG($B12,"SP_REV_EST",AP$7,$F$2,"Options:Curr="&amp;$F$3&amp;", Mag=Millions, NA=--"))</f>
        <v/>
      </c>
      <c r="AQ12" s="20" t="str" cm="1">
        <f t="array" ref="AQ12">IF($B12="","",_xll.SNL.Clients.Office.Excel.Functions.SPG($B12,"SP_REV_EST",AQ$7,$F$2,"Options:Curr="&amp;$F$3&amp;", Mag=Millions, NA=--"))</f>
        <v/>
      </c>
      <c r="AR12" s="20" t="str" cm="1">
        <f t="array" ref="AR12">IF($B12="","",_xll.SNL.Clients.Office.Excel.Functions.SPG($B12,"SP_REV_EST",AR$7,$F$2,"Options:Curr="&amp;$F$3&amp;", Mag=Millions, NA=--"))</f>
        <v/>
      </c>
      <c r="AT12" s="20" t="str" cm="1">
        <f t="array" ref="AT12">IF($B12="","",_xll.SNL.Clients.Office.Excel.Functions.SPG($B12,"SP_EBITDA",AT$7,$F$2,"Options:Curr="&amp;$F$3&amp;", Mag=Millions, NA=--"))</f>
        <v/>
      </c>
      <c r="AU12" s="20" t="str" cm="1">
        <f t="array" ref="AU12">IF($B12="","",_xll.SNL.Clients.Office.Excel.Functions.SPG($B12,"SP_EBITDA_EST",AU$7,$F$2,"Options:Curr="&amp;$F$3&amp;", Mag=Millions, NA=--"))</f>
        <v/>
      </c>
      <c r="AV12" s="20" t="str" cm="1">
        <f t="array" ref="AV12">IF($B12="","",_xll.SNL.Clients.Office.Excel.Functions.SPG($B12,"SP_EBITDA_EST",AV$7,$F$2,"Options:Curr="&amp;$F$3&amp;", Mag=Millions, NA=--"))</f>
        <v/>
      </c>
      <c r="AW12" s="20" t="str" cm="1">
        <f t="array" ref="AW12">IF($B12="","",_xll.SNL.Clients.Office.Excel.Functions.SPG($B12,"SP_EBITDA_EST",AW$7,$F$2,"Options:Curr="&amp;$F$3&amp;", Mag=Millions, NA=--"))</f>
        <v/>
      </c>
      <c r="AY12" s="13" t="str" cm="1">
        <f t="array" ref="AY12">IF($B12="","",_xll.SNL.Clients.Office.Excel.Functions.SPG($B12,"SP_EPS_EST",AY$7,$F$2,"Options:Curr="&amp;$F$3&amp;", NA=--"))</f>
        <v/>
      </c>
      <c r="AZ12" s="13" t="str" cm="1">
        <f t="array" ref="AZ12">IF($B12="","",_xll.SNL.Clients.Office.Excel.Functions.SPG($B12,"SP_EPS_EST",AZ$7,$F$2,"Options:Curr="&amp;$F$3&amp;", NA=--"))</f>
        <v/>
      </c>
      <c r="BA12" s="13" t="str" cm="1">
        <f t="array" ref="BA12">IF($B12="","",_xll.SNL.Clients.Office.Excel.Functions.SPG($B12,"SP_EPS_EST",BA$7,$F$2,"Options:Curr="&amp;$F$3&amp;", NA=--"))</f>
        <v/>
      </c>
      <c r="BC12" s="13" t="str" cm="1">
        <f t="array" ref="BC12">IF($B12="","",_xll.SNL.Clients.Office.Excel.Functions.SPG($B12,"SP_CFPS_EST",BC$7,$F$2,"Options:Curr="&amp;$F$3&amp;", NA=--"))</f>
        <v/>
      </c>
      <c r="BD12" s="13" t="str" cm="1">
        <f t="array" ref="BD12">IF($B12="","",_xll.SNL.Clients.Office.Excel.Functions.SPG($B12,"SP_CFPS_EST",BD$7,$F$2,"Options:Curr="&amp;$F$3&amp;", NA=--"))</f>
        <v/>
      </c>
      <c r="BE12" s="13" t="str" cm="1">
        <f t="array" ref="BE12">IF($B12="","",_xll.SNL.Clients.Office.Excel.Functions.SPG($B12,"SP_CFPS_EST",BE$7,$F$2,"Options:Curr="&amp;$F$3&amp;", NA=--"))</f>
        <v/>
      </c>
      <c r="BG12" s="66" t="str" cm="1">
        <f t="array" ref="BG12">IF($B12="","",_xll.SNL.Clients.Office.Excel.Functions.SPG($B12,"SP_DIV_YIELD",WORKDAY($F$2+1,-1),"Options: NA=--"))</f>
        <v/>
      </c>
      <c r="BH12" s="19" t="str" cm="1">
        <f t="array" ref="BH12">IF($B12="","",_xll.SNL.Clients.Office.Excel.Functions.SPG($B12,"IQ_TOTAL_EQUITY","FQ0",$F$2,"Options:Curr="&amp;$F$3&amp;", Mag=Millions, NA=--"))</f>
        <v/>
      </c>
      <c r="BI12" s="19" t="str" cm="1">
        <f t="array" ref="BI12">IF($B12="","",_xll.SNL.Clients.Office.Excel.Functions.SPG($B12,"IQ_TOTAL_DEBT","FQ0",$F$2,"Options:Curr="&amp;$F$3&amp;", Mag=Millions, NA=--"))</f>
        <v/>
      </c>
      <c r="BJ12" s="19" t="str" cm="1">
        <f t="array" ref="BJ12">IF($B12="","",_xll.SNL.Clients.Office.Excel.Functions.SPG($B12,"IQ_CASH_ST_INVEST","FQ0",$F$2,"Options:Curr="&amp;$F$3&amp;", Mag=Millions, NA=--"))</f>
        <v/>
      </c>
      <c r="BK12" s="38" t="e">
        <f t="shared" ref="BK12" si="7">+BI12-BJ12</f>
        <v>#VALUE!</v>
      </c>
      <c r="BL12" s="19" t="str" cm="1">
        <f t="array" ref="BL12">IF($B12="","",_xll.SNL.Clients.Office.Excel.Functions.SPG($B12,"IQ_TOTAL_EQUITY","FQ0",$F$2,"Options:Curr="&amp;$F$3&amp;", Mag=Millions, NA=--"))</f>
        <v/>
      </c>
      <c r="BN12" s="20" t="str">
        <f>IFERROR($AP12*$BR12,"n/a")</f>
        <v>n/a</v>
      </c>
      <c r="BO12" s="20" t="str">
        <f t="shared" ref="BO12" si="8">IFERROR($AQ12*BS12,"n/a")</f>
        <v>n/a</v>
      </c>
      <c r="BP12" s="20" t="str">
        <f>IFERROR($AR12*$BT12,"n/a")</f>
        <v>n/a</v>
      </c>
      <c r="BR12" s="45" t="str">
        <f>IF($B12="","",IFERROR(_xll.SNL.Clients.Office.Excel.Functions.SPG($B12,"SP_GROSS_MARGIN_EST",BR$7,$F$2,"Options: NA=--")/100,"--"))</f>
        <v/>
      </c>
      <c r="BS12" s="45" t="str">
        <f>IF($B12="","",IFERROR(_xll.SNL.Clients.Office.Excel.Functions.SPG($B12,"SP_GROSS_MARGIN_EST",BS$7,$F$2,"Options: NA=--")/100,"--"))</f>
        <v/>
      </c>
      <c r="BT12" s="45" t="str">
        <f>IF($B12="","",IFERROR(_xll.SNL.Clients.Office.Excel.Functions.SPG($B12,"SP_GROSS_MARGIN_EST",BT$7,$F$2,"Options: NA=--")/100,"--"))</f>
        <v/>
      </c>
      <c r="BU12" s="46"/>
      <c r="BV12" s="48" t="str" cm="1">
        <f t="array" ref="BV12">IF($B12="","",_xll.SNL.Clients.Office.Excel.Functions.SPG($B12,"SP_GROSS_MARGIN_NUM_EST",BV$7,$F$2,"Options: NA=--"))</f>
        <v/>
      </c>
      <c r="BW12" s="48" t="str" cm="1">
        <f t="array" ref="BW12">IF($B12="","",_xll.SNL.Clients.Office.Excel.Functions.SPG($B12,"SP_GROSS_MARGIN_NUM_EST",BW$7,$F$2,"Options: NA=--"))</f>
        <v/>
      </c>
      <c r="BX12" s="48" t="str" cm="1">
        <f t="array" ref="BX12">IF($B12="","",_xll.SNL.Clients.Office.Excel.Functions.SPG($B12,"SP_GROSS_MARGIN_NUM_EST",BX$7,$F$2,"Options: NA=--"))</f>
        <v/>
      </c>
      <c r="BZ12" s="63" t="str">
        <f>IFERROR(IF(CD12/AP12&lt;0,"nmf ",CD12/AP12),"n/a ")</f>
        <v xml:space="preserve">n/a </v>
      </c>
      <c r="CA12" s="63" t="str">
        <f>IFERROR(IF(CE12/AQ12&lt;0,"nmf ",CE12/AQ12),"n/a ")</f>
        <v xml:space="preserve">n/a </v>
      </c>
      <c r="CB12" s="63" t="str">
        <f>IFERROR(IF(CF12/AR12&lt;0,"nmf ",CF12/AR12),"n/a ")</f>
        <v xml:space="preserve">n/a </v>
      </c>
      <c r="CD12" s="69" t="str">
        <f>IFERROR(BR12*AP12,"--")</f>
        <v>--</v>
      </c>
      <c r="CE12" s="20" t="str">
        <f>IFERROR(BS12*AQ12,"--")</f>
        <v>--</v>
      </c>
      <c r="CF12" s="20" t="str">
        <f>IFERROR(BT12*AR12,"--")</f>
        <v>--</v>
      </c>
    </row>
    <row r="13" spans="2:84" s="10" customFormat="1" ht="16.350000000000001" customHeight="1" x14ac:dyDescent="0.25">
      <c r="B13" s="35"/>
      <c r="D13" s="10" t="str" cm="1">
        <f t="array" ref="D13">IF($B13="","",_xll.SNL.Clients.Office.Excel.Functions.SPG($B13, "SP_COMPANY_NAME"))</f>
        <v/>
      </c>
      <c r="G13" s="21" t="str" cm="1">
        <f t="array" ref="G13">IF($B13="","",_xll.SNL.Clients.Office.Excel.Functions.SPG($B13,"SP_LASTSALEPRICE",WORKDAY($F$2+1,-1),"Options:Curr="&amp;I13&amp;",NA=--"))</f>
        <v/>
      </c>
      <c r="H13" s="13" t="str" cm="1">
        <f t="array" ref="H13">IF($B13="","",_xll.SNL.Clients.Office.Excel.Functions.SPG($B13,"SP_PRICE_CLOSE",WORKDAY($F$2+1,-1),"Options:Curr="&amp;$F$3&amp;", NA=--"))</f>
        <v/>
      </c>
      <c r="I13" s="41" t="str" cm="1">
        <f t="array" ref="I13">IF($B13="","",_xll.SNL.Clients.Office.Excel.Functions.SPG($B13,"SP_TRADING_CURRENCY","Options: NA=--"))</f>
        <v/>
      </c>
      <c r="J13" s="15" t="str" cm="1">
        <f t="array" ref="J13">IF($B13="","",_xll.SNL.Clients.Office.Excel.Functions.SPG($B13,"SP_MARKETCAP",WORKDAY($F$2+1,-1),"Options:Curr="&amp;$F$3&amp;", Mag=Millions, NA=--"))</f>
        <v/>
      </c>
      <c r="K13" s="15" t="str" cm="1">
        <f t="array" ref="K13">IF($B13="","",_xll.SNL.Clients.Office.Excel.Functions.SPG($B13,"IQ_TEV",WORKDAY($F$2+1,-1),"Options:Curr="&amp;$F$3&amp;", Mag=Millions, NA=--"))</f>
        <v/>
      </c>
      <c r="L13" s="16" t="str">
        <f>IFERROR(IF(OR($K13/AO13&gt;L$4,$K13/AO13&lt;L$3),"nmf ",$K13/AO13),"n/a ")</f>
        <v xml:space="preserve">n/a </v>
      </c>
      <c r="M13" s="16" t="str">
        <f>IFERROR(IF(OR($K13/AP13&gt;M$4,$K13/AP13&lt;M$3),"nmf ",$K13/AP13),"n/a ")</f>
        <v xml:space="preserve">n/a </v>
      </c>
      <c r="N13" s="16" t="str">
        <f>IFERROR(IF(OR($K13/AQ13&gt;N$4,$K13/AQ13&lt;N$3),"nmf ",$K13/AQ13),"n/a ")</f>
        <v xml:space="preserve">n/a </v>
      </c>
      <c r="O13" s="16" t="str">
        <f>IFERROR(IF(OR($K13/AR13&gt;O$4,$K13/AR13&lt;O$3),"nmf ",$K13/AR13),"n/a ")</f>
        <v xml:space="preserve">n/a </v>
      </c>
      <c r="P13" s="16" t="str">
        <f>IFERROR(IF(OR($K13/AT13&gt;P$4,$K13/AT13&lt;P$3),"nmf ",$K13/AT13),"n/a ")</f>
        <v xml:space="preserve">n/a </v>
      </c>
      <c r="Q13" s="16" t="str">
        <f>IFERROR(IF(OR($K13/AU13&gt;Q$4,$K13/AU13&lt;Q$3),"nmf ",$K13/AU13),"n/a ")</f>
        <v xml:space="preserve">n/a </v>
      </c>
      <c r="R13" s="16" t="str">
        <f>IFERROR(IF(OR($K13/AV13&gt;R$4,$K13/AV13&lt;R$3),"nmf ",$K13/AV13),"n/a ")</f>
        <v xml:space="preserve">n/a </v>
      </c>
      <c r="S13" s="16" t="str">
        <f>IFERROR(IF(OR($K13/AW13&gt;S$4,$K13/AW13&lt;S$3),"nmf ",$K13/AW13),"n/a ")</f>
        <v xml:space="preserve">n/a </v>
      </c>
      <c r="T13" s="34" t="str">
        <f>IFERROR((AQ13/AP13)-1,"n/a ")</f>
        <v xml:space="preserve">n/a </v>
      </c>
      <c r="U13" s="34" t="str">
        <f>IFERROR((AR13/AQ13)-1,"n/a ")</f>
        <v xml:space="preserve">n/a </v>
      </c>
      <c r="V13" s="16" t="str">
        <f>IFERROR(IF(OR($H13/AY13&gt;#REF!,$H13/AY13&lt;#REF!),"nmf ",$H13/AY13),"n/a ")</f>
        <v xml:space="preserve">n/a </v>
      </c>
      <c r="W13" s="16" t="str">
        <f>IFERROR(IF(OR($H13/AZ13&gt;#REF!,$H13/AZ13&lt;#REF!),"nmf ",$H13/AZ13),"n/a ")</f>
        <v xml:space="preserve">n/a </v>
      </c>
      <c r="X13" s="16" t="str">
        <f>IFERROR(IF(OR($H13/BA13&gt;#REF!,$H13/BA13&lt;#REF!),"nmf ",$H13/BA13),"n/a ")</f>
        <v xml:space="preserve">n/a </v>
      </c>
      <c r="Y13" s="16" t="str">
        <f>IFERROR(IF(OR($H13/BC13&gt;#REF!,$H13/BC13&lt;#REF!),"nmf ",$H13/BC13),"n/a ")</f>
        <v xml:space="preserve">n/a </v>
      </c>
      <c r="Z13" s="16" t="str">
        <f>IFERROR(IF(OR($H13/BD13&gt;#REF!,$H13/BD13&lt;#REF!),"nmf ",$H13/BD13),"n/a ")</f>
        <v xml:space="preserve">n/a </v>
      </c>
      <c r="AA13" s="16" t="str">
        <f>IFERROR(IF(OR($H13/BE13&gt;#REF!,$H13/BE13&lt;#REF!),"nmf ",$H13/BE13),"n/a ")</f>
        <v xml:space="preserve">n/a </v>
      </c>
      <c r="AB13" s="34" t="str">
        <f t="shared" si="0"/>
        <v xml:space="preserve">n/a </v>
      </c>
      <c r="AC13" s="34" t="str">
        <f t="shared" si="0"/>
        <v xml:space="preserve">n/a </v>
      </c>
      <c r="AD13" s="34" t="str">
        <f t="shared" si="0"/>
        <v xml:space="preserve">n/a </v>
      </c>
      <c r="AE13" s="34" t="str">
        <f t="shared" si="0"/>
        <v xml:space="preserve">n/a </v>
      </c>
      <c r="AF13" s="34" t="str">
        <f t="shared" si="0"/>
        <v xml:space="preserve">n/a </v>
      </c>
      <c r="AG13" s="34" t="str">
        <f>IFERROR((BM13/AW13)-1,"n/a ")</f>
        <v xml:space="preserve">n/a </v>
      </c>
      <c r="AH13" s="34" t="str">
        <f>IFERROR((BN13/BM13)-1,"n/a ")</f>
        <v xml:space="preserve">n/a </v>
      </c>
      <c r="AI13" s="34" t="str">
        <f>IFERROR((BO13/BN13)-1,"n/a ")</f>
        <v xml:space="preserve">n/a </v>
      </c>
      <c r="AJ13" s="34" t="str">
        <f>IFERROR((BP13/BO13)-1,"n/a ")</f>
        <v xml:space="preserve">n/a </v>
      </c>
      <c r="AK13" s="34" t="str">
        <f>IFERROR((BQ13/BP13)-1,"n/a ")</f>
        <v xml:space="preserve">n/a </v>
      </c>
      <c r="AL13" s="34" t="str">
        <f>IFERROR((BR13/BQ13)-1,"n/a ")</f>
        <v xml:space="preserve">n/a </v>
      </c>
      <c r="AM13" s="73"/>
      <c r="AO13" s="20" t="str" cm="1">
        <f t="array" ref="AO13">IF($B13="","",_xll.SNL.Clients.Office.Excel.Functions.SPG($B13,"IQ_REV",AO$7,$F$2,"Options:Curr="&amp;$F$3&amp;", Mag=Millions, NA=--"))</f>
        <v/>
      </c>
      <c r="AP13" s="20" t="str" cm="1">
        <f t="array" ref="AP13">IF($B13="","",_xll.SNL.Clients.Office.Excel.Functions.SPG($B13,"SP_REV_EST",AP$7,$F$2,"Options:Curr="&amp;$F$3&amp;", Mag=Millions, NA=--"))</f>
        <v/>
      </c>
      <c r="AQ13" s="20" t="str" cm="1">
        <f t="array" ref="AQ13">IF($B13="","",_xll.SNL.Clients.Office.Excel.Functions.SPG($B13,"SP_REV_EST",AQ$7,$F$2,"Options:Curr="&amp;$F$3&amp;", Mag=Millions, NA=--"))</f>
        <v/>
      </c>
      <c r="AR13" s="20" t="str" cm="1">
        <f t="array" ref="AR13">IF($B13="","",_xll.SNL.Clients.Office.Excel.Functions.SPG($B13,"SP_REV_EST",AR$7,$F$2,"Options:Curr="&amp;$F$3&amp;", Mag=Millions, NA=--"))</f>
        <v/>
      </c>
      <c r="AT13" s="20" t="str" cm="1">
        <f t="array" ref="AT13">IF($B13="","",_xll.SNL.Clients.Office.Excel.Functions.SPG($B13,"SP_EBITDA",AT$7,$F$2,"Options:Curr="&amp;$F$3&amp;", Mag=Millions, NA=--"))</f>
        <v/>
      </c>
      <c r="AU13" s="20" t="str" cm="1">
        <f t="array" ref="AU13">IF($B13="","",_xll.SNL.Clients.Office.Excel.Functions.SPG($B13,"SP_EBITDA_EST",AU$7,$F$2,"Options:Curr="&amp;$F$3&amp;", Mag=Millions, NA=--"))</f>
        <v/>
      </c>
      <c r="AV13" s="20" t="str" cm="1">
        <f t="array" ref="AV13">IF($B13="","",_xll.SNL.Clients.Office.Excel.Functions.SPG($B13,"SP_EBITDA_EST",AV$7,$F$2,"Options:Curr="&amp;$F$3&amp;", Mag=Millions, NA=--"))</f>
        <v/>
      </c>
      <c r="AW13" s="20" t="str" cm="1">
        <f t="array" ref="AW13">IF($B13="","",_xll.SNL.Clients.Office.Excel.Functions.SPG($B13,"SP_EBITDA_EST",AW$7,$F$2,"Options:Curr="&amp;$F$3&amp;", Mag=Millions, NA=--"))</f>
        <v/>
      </c>
      <c r="AY13" s="13" t="str" cm="1">
        <f t="array" ref="AY13">IF($B13="","",_xll.SNL.Clients.Office.Excel.Functions.SPG($B13,"SP_EPS_EST",AY$7,$F$2,"Options:Curr="&amp;$F$3&amp;", NA=--"))</f>
        <v/>
      </c>
      <c r="AZ13" s="13" t="str" cm="1">
        <f t="array" ref="AZ13">IF($B13="","",_xll.SNL.Clients.Office.Excel.Functions.SPG($B13,"SP_EPS_EST",AZ$7,$F$2,"Options:Curr="&amp;$F$3&amp;", NA=--"))</f>
        <v/>
      </c>
      <c r="BA13" s="13" t="str" cm="1">
        <f t="array" ref="BA13">IF($B13="","",_xll.SNL.Clients.Office.Excel.Functions.SPG($B13,"SP_EPS_EST",BA$7,$F$2,"Options:Curr="&amp;$F$3&amp;", NA=--"))</f>
        <v/>
      </c>
      <c r="BC13" s="13" t="str" cm="1">
        <f t="array" ref="BC13">IF($B13="","",_xll.SNL.Clients.Office.Excel.Functions.SPG($B13,"SP_CFPS_EST",BC$7,$F$2,"Options:Curr="&amp;$F$3&amp;", NA=--"))</f>
        <v/>
      </c>
      <c r="BD13" s="13" t="str" cm="1">
        <f t="array" ref="BD13">IF($B13="","",_xll.SNL.Clients.Office.Excel.Functions.SPG($B13,"SP_CFPS_EST",BD$7,$F$2,"Options:Curr="&amp;$F$3&amp;", NA=--"))</f>
        <v/>
      </c>
      <c r="BE13" s="13" t="str" cm="1">
        <f t="array" ref="BE13">IF($B13="","",_xll.SNL.Clients.Office.Excel.Functions.SPG($B13,"SP_CFPS_EST",BE$7,$F$2,"Options:Curr="&amp;$F$3&amp;", NA=--"))</f>
        <v/>
      </c>
      <c r="BG13" s="67" t="str" cm="1">
        <f t="array" ref="BG13">IF($B13="","",_xll.SNL.Clients.Office.Excel.Functions.SPG($B13,"SP_DIV_YIELD",WORKDAY($F$2+1,-1),"Options: NA=--"))</f>
        <v/>
      </c>
      <c r="BH13" s="19" t="str" cm="1">
        <f t="array" ref="BH13">IF($B13="","",_xll.SNL.Clients.Office.Excel.Functions.SPG($B13,"IQ_TOTAL_EQUITY","FQ0",$F$2,"Options:Curr="&amp;$F$3&amp;", Mag=Millions, NA=--"))</f>
        <v/>
      </c>
      <c r="BI13" s="19" t="str" cm="1">
        <f t="array" ref="BI13">IF($B13="","",_xll.SNL.Clients.Office.Excel.Functions.SPG($B13,"IQ_TOTAL_DEBT","FQ0",$F$2,"Options:Curr="&amp;$F$3&amp;", Mag=Millions, NA=--"))</f>
        <v/>
      </c>
      <c r="BJ13" s="19" t="str" cm="1">
        <f t="array" ref="BJ13">IF($B13="","",_xll.SNL.Clients.Office.Excel.Functions.SPG($B13,"IQ_CASH_ST_INVEST","FQ0",$F$2,"Options:Curr="&amp;$F$3&amp;", Mag=Millions, NA=--"))</f>
        <v/>
      </c>
      <c r="BK13" s="38" t="e">
        <f>+BI13-BJ13</f>
        <v>#VALUE!</v>
      </c>
      <c r="BL13" s="19" t="str" cm="1">
        <f t="array" ref="BL13">IF($B13="","",_xll.SNL.Clients.Office.Excel.Functions.SPG($B13,"IQ_TOTAL_EQUITY","FQ0",$F$2,"Options:Curr="&amp;$F$3&amp;", Mag=Millions, NA=--"))</f>
        <v/>
      </c>
      <c r="BN13" s="20" t="str">
        <f>IFERROR($AP13*$BR13,"n/a")</f>
        <v>n/a</v>
      </c>
      <c r="BO13" s="20" t="str">
        <f>IFERROR($AQ13*BS13,"n/a")</f>
        <v>n/a</v>
      </c>
      <c r="BP13" s="20" t="str">
        <f>IFERROR($AR13*$BT13,"n/a")</f>
        <v>n/a</v>
      </c>
      <c r="BR13" s="45" t="str">
        <f>IF($B13="","",IFERROR(_xll.SNL.Clients.Office.Excel.Functions.SPG($B13,"SP_GROSS_MARGIN_EST",BR$7,$F$2,"Options: NA=--")/100,"--"))</f>
        <v/>
      </c>
      <c r="BS13" s="45" t="str">
        <f>IF($B13="","",IFERROR(_xll.SNL.Clients.Office.Excel.Functions.SPG($B13,"SP_GROSS_MARGIN_EST",BS$7,$F$2,"Options: NA=--")/100,"--"))</f>
        <v/>
      </c>
      <c r="BT13" s="45" t="str">
        <f>IF($B13="","",IFERROR(_xll.SNL.Clients.Office.Excel.Functions.SPG($B13,"SP_GROSS_MARGIN_EST",BT$7,$F$2,"Options: NA=--")/100,"--"))</f>
        <v/>
      </c>
      <c r="BU13" s="46"/>
      <c r="BV13" s="48" t="str" cm="1">
        <f t="array" ref="BV13">IF($B13="","",_xll.SNL.Clients.Office.Excel.Functions.SPG($B13,"SP_GROSS_MARGIN_NUM_EST",BV$7,$F$2,"Options: NA=--"))</f>
        <v/>
      </c>
      <c r="BW13" s="48" t="str" cm="1">
        <f t="array" ref="BW13">IF($B13="","",_xll.SNL.Clients.Office.Excel.Functions.SPG($B13,"SP_GROSS_MARGIN_NUM_EST",BW$7,$F$2,"Options: NA=--"))</f>
        <v/>
      </c>
      <c r="BX13" s="48" t="str" cm="1">
        <f t="array" ref="BX13">IF($B13="","",_xll.SNL.Clients.Office.Excel.Functions.SPG($B13,"SP_GROSS_MARGIN_NUM_EST",BX$7,$F$2,"Options: NA=--"))</f>
        <v/>
      </c>
      <c r="BZ13" s="63" t="str">
        <f>IFERROR(IF(CD13/AP13&lt;0,"nmf ",CD13/AP13),"n/a ")</f>
        <v xml:space="preserve">n/a </v>
      </c>
      <c r="CA13" s="63" t="str">
        <f>IFERROR(IF(CE13/AQ13&lt;0,"nmf ",CE13/AQ13),"n/a ")</f>
        <v xml:space="preserve">n/a </v>
      </c>
      <c r="CB13" s="63" t="str">
        <f>IFERROR(IF(CF13/AR13&lt;0,"nmf ",CF13/AR13),"n/a ")</f>
        <v xml:space="preserve">n/a </v>
      </c>
      <c r="CD13" s="20" t="str">
        <f>IFERROR(BR13*AP13,"--")</f>
        <v>--</v>
      </c>
      <c r="CE13" s="20" t="str">
        <f>IFERROR(BS13*AQ13,"--")</f>
        <v>--</v>
      </c>
      <c r="CF13" s="20" t="str">
        <f>IFERROR(BT13*AR13,"--")</f>
        <v>--</v>
      </c>
    </row>
    <row r="14" spans="2:84" s="10" customFormat="1" ht="3" customHeight="1" x14ac:dyDescent="0.25">
      <c r="B14" s="11"/>
      <c r="G14" s="14"/>
      <c r="H14" s="14"/>
      <c r="I14" s="41"/>
      <c r="J14" s="22"/>
      <c r="K14" s="23"/>
      <c r="L14" s="23"/>
      <c r="M14" s="16"/>
      <c r="N14" s="16"/>
      <c r="O14" s="16"/>
      <c r="P14" s="16"/>
      <c r="Q14" s="16"/>
      <c r="R14" s="16"/>
      <c r="S14" s="16"/>
      <c r="T14" s="17"/>
      <c r="U14" s="17"/>
      <c r="V14" s="16"/>
      <c r="W14" s="16"/>
      <c r="X14" s="16"/>
      <c r="Y14" s="16"/>
      <c r="Z14" s="16"/>
      <c r="AA14" s="16"/>
      <c r="AB14" s="17"/>
      <c r="AC14" s="17"/>
      <c r="AD14" s="17"/>
      <c r="AE14" s="17"/>
      <c r="AF14" s="17"/>
      <c r="AG14" s="17"/>
      <c r="AH14" s="17"/>
      <c r="AI14" s="17"/>
      <c r="AJ14" s="17"/>
      <c r="AK14" s="17"/>
      <c r="AL14" s="17"/>
      <c r="AM14" s="17"/>
      <c r="AO14" s="13"/>
      <c r="AP14" s="13"/>
      <c r="AQ14" s="13"/>
      <c r="AR14" s="13"/>
      <c r="AU14" s="20"/>
      <c r="AV14" s="20"/>
      <c r="AW14" s="20"/>
      <c r="AY14" s="13"/>
      <c r="AZ14" s="13"/>
      <c r="BA14" s="13"/>
      <c r="BG14" s="67"/>
      <c r="BH14" s="19"/>
      <c r="BI14" s="19"/>
      <c r="BJ14" s="19"/>
      <c r="BK14" s="19"/>
      <c r="BL14" s="19"/>
      <c r="BR14" s="46"/>
      <c r="BS14" s="46"/>
      <c r="BT14" s="46"/>
      <c r="BU14" s="46"/>
      <c r="BV14" s="49"/>
      <c r="BW14" s="49"/>
      <c r="BX14" s="49"/>
      <c r="BZ14" s="64"/>
      <c r="CA14" s="64"/>
      <c r="CB14" s="64"/>
    </row>
    <row r="15" spans="2:84" s="10" customFormat="1" ht="16.350000000000001" customHeight="1" x14ac:dyDescent="0.25">
      <c r="B15" s="11"/>
      <c r="D15" s="24" t="s">
        <v>23</v>
      </c>
      <c r="E15" s="24"/>
      <c r="F15" s="24"/>
      <c r="G15" s="24"/>
      <c r="H15" s="24"/>
      <c r="I15" s="42"/>
      <c r="J15" s="25"/>
      <c r="K15" s="25"/>
      <c r="L15" s="36" t="str">
        <f>IFERROR(AVERAGE(L10:L13),"n/a ")</f>
        <v xml:space="preserve">n/a </v>
      </c>
      <c r="M15" s="36" t="str">
        <f>IFERROR(AVERAGE(M10:M13),"n/a ")</f>
        <v xml:space="preserve">n/a </v>
      </c>
      <c r="N15" s="26" t="str">
        <f>IFERROR(AVERAGE(N10:N13),"n/a ")</f>
        <v xml:space="preserve">n/a </v>
      </c>
      <c r="O15" s="36" t="str">
        <f>IFERROR(AVERAGE(O10:O13),"n/a ")</f>
        <v xml:space="preserve">n/a </v>
      </c>
      <c r="P15" s="36" t="str">
        <f>IFERROR(AVERAGE(P10:P13),"n/a ")</f>
        <v xml:space="preserve">n/a </v>
      </c>
      <c r="Q15" s="26" t="str">
        <f>IFERROR(AVERAGE(Q10:Q13),"n/a ")</f>
        <v xml:space="preserve">n/a </v>
      </c>
      <c r="R15" s="26" t="str">
        <f>IFERROR(AVERAGE(R10:R13),"n/a ")</f>
        <v xml:space="preserve">n/a </v>
      </c>
      <c r="S15" s="26" t="str">
        <f>IFERROR(AVERAGE(S10:S13),"n/a ")</f>
        <v xml:space="preserve">n/a </v>
      </c>
      <c r="T15" s="37" t="str">
        <f>IFERROR(AVERAGE(T10:T13),"n/a ")</f>
        <v xml:space="preserve">n/a </v>
      </c>
      <c r="U15" s="37" t="str">
        <f>IFERROR(AVERAGE(U10:U13),"n/a ")</f>
        <v xml:space="preserve">n/a </v>
      </c>
      <c r="V15" s="26" t="str">
        <f>IFERROR(AVERAGE(V10:V13),"n/a ")</f>
        <v xml:space="preserve">n/a </v>
      </c>
      <c r="W15" s="26" t="str">
        <f>IFERROR(AVERAGE(W10:W13),"n/a ")</f>
        <v xml:space="preserve">n/a </v>
      </c>
      <c r="X15" s="26" t="str">
        <f>IFERROR(AVERAGE(X10:X13),"n/a ")</f>
        <v xml:space="preserve">n/a </v>
      </c>
      <c r="Y15" s="26" t="str">
        <f>IFERROR(AVERAGE(Y10:Y13),"n/a ")</f>
        <v xml:space="preserve">n/a </v>
      </c>
      <c r="Z15" s="26" t="str">
        <f>IFERROR(AVERAGE(Z10:Z13),"n/a ")</f>
        <v xml:space="preserve">n/a </v>
      </c>
      <c r="AA15" s="26" t="str">
        <f>IFERROR(AVERAGE(AA10:AA13),"n/a ")</f>
        <v xml:space="preserve">n/a </v>
      </c>
      <c r="AB15" s="37" t="str">
        <f>IFERROR(AVERAGE(AB10:AB13),"n/a ")</f>
        <v xml:space="preserve">n/a </v>
      </c>
      <c r="AC15" s="37" t="str">
        <f>IFERROR(AVERAGE(AC10:AC13),"n/a ")</f>
        <v xml:space="preserve">n/a </v>
      </c>
      <c r="AD15" s="37" t="str">
        <f>IFERROR(AVERAGE(AD10:AD13),"n/a ")</f>
        <v xml:space="preserve">n/a </v>
      </c>
      <c r="AE15" s="37" t="str">
        <f>IFERROR(AVERAGE(AE10:AE13),"n/a ")</f>
        <v xml:space="preserve">n/a </v>
      </c>
      <c r="AF15" s="37" t="str">
        <f>IFERROR(AVERAGE(AF10:AF13),"n/a ")</f>
        <v xml:space="preserve">n/a </v>
      </c>
      <c r="AG15" s="37" t="str">
        <f>IFERROR(AVERAGE(AG10:AG13),"n/a ")</f>
        <v xml:space="preserve">n/a </v>
      </c>
      <c r="AH15" s="37" t="str">
        <f>IFERROR(AVERAGE(AH10:AH13),"n/a ")</f>
        <v xml:space="preserve">n/a </v>
      </c>
      <c r="AI15" s="37" t="str">
        <f>IFERROR(AVERAGE(AI10:AI13),"n/a ")</f>
        <v xml:space="preserve">n/a </v>
      </c>
      <c r="AJ15" s="37" t="str">
        <f>IFERROR(AVERAGE(AJ10:AJ13),"n/a ")</f>
        <v xml:space="preserve">n/a </v>
      </c>
      <c r="AK15" s="37" t="str">
        <f>IFERROR(AVERAGE(AK10:AK13),"n/a ")</f>
        <v xml:space="preserve">n/a </v>
      </c>
      <c r="AL15" s="37" t="str">
        <f>IFERROR(AVERAGE(AL10:AL13),"n/a ")</f>
        <v xml:space="preserve">n/a </v>
      </c>
      <c r="AM15" s="37"/>
      <c r="AU15" s="27"/>
      <c r="AV15" s="27"/>
      <c r="AW15" s="27"/>
      <c r="BG15" s="68"/>
      <c r="BR15" s="46"/>
      <c r="BS15" s="46"/>
      <c r="BT15" s="46"/>
      <c r="BU15" s="46"/>
      <c r="BV15" s="49"/>
      <c r="BW15" s="49"/>
      <c r="BX15" s="49"/>
      <c r="BZ15" s="64"/>
      <c r="CA15" s="64"/>
      <c r="CB15" s="64"/>
    </row>
    <row r="16" spans="2:84" s="10" customFormat="1" ht="3" customHeight="1" x14ac:dyDescent="0.25">
      <c r="B16" s="11"/>
      <c r="I16" s="43"/>
      <c r="J16" s="28"/>
      <c r="K16" s="28"/>
      <c r="L16" s="28"/>
      <c r="AU16" s="27"/>
      <c r="AV16" s="27"/>
      <c r="AW16" s="27"/>
      <c r="BG16" s="68"/>
      <c r="BR16" s="46"/>
      <c r="BS16" s="46"/>
      <c r="BT16" s="46"/>
      <c r="BU16" s="46"/>
      <c r="BV16" s="49"/>
      <c r="BW16" s="49"/>
      <c r="BX16" s="49"/>
      <c r="BZ16" s="64"/>
      <c r="CA16" s="64"/>
      <c r="CB16" s="64"/>
    </row>
    <row r="17" spans="2:84" s="10" customFormat="1" ht="16.350000000000001" customHeight="1" x14ac:dyDescent="0.25">
      <c r="B17" s="75" t="s">
        <v>55</v>
      </c>
      <c r="D17" s="29" t="str">
        <f>+B17</f>
        <v>Group 2</v>
      </c>
      <c r="G17" s="14"/>
      <c r="H17" s="14"/>
      <c r="I17" s="41"/>
      <c r="J17" s="22"/>
      <c r="K17" s="22"/>
      <c r="L17" s="22"/>
      <c r="M17" s="18"/>
      <c r="N17" s="18"/>
      <c r="O17" s="18"/>
      <c r="P17" s="18"/>
      <c r="Q17" s="18"/>
      <c r="R17" s="18"/>
      <c r="S17" s="18"/>
      <c r="T17" s="17"/>
      <c r="U17" s="17"/>
      <c r="V17" s="18"/>
      <c r="W17" s="18"/>
      <c r="X17" s="18"/>
      <c r="Y17" s="18"/>
      <c r="Z17" s="18"/>
      <c r="AA17" s="18"/>
      <c r="AB17" s="17"/>
      <c r="AC17" s="17"/>
      <c r="AD17" s="17"/>
      <c r="AE17" s="17"/>
      <c r="AF17" s="17"/>
      <c r="AG17" s="17"/>
      <c r="AH17" s="17"/>
      <c r="AI17" s="17"/>
      <c r="AJ17" s="17"/>
      <c r="AK17" s="17"/>
      <c r="AL17" s="17"/>
      <c r="AM17" s="17"/>
      <c r="AO17" s="13"/>
      <c r="AP17" s="13"/>
      <c r="AQ17" s="13"/>
      <c r="AR17" s="13"/>
      <c r="AU17" s="20"/>
      <c r="AV17" s="20"/>
      <c r="AW17" s="20"/>
      <c r="AY17" s="13"/>
      <c r="AZ17" s="13"/>
      <c r="BA17" s="13"/>
      <c r="BG17" s="67"/>
      <c r="BH17" s="19"/>
      <c r="BI17" s="19"/>
      <c r="BJ17" s="19"/>
      <c r="BK17" s="19"/>
      <c r="BL17" s="19"/>
      <c r="BR17" s="46"/>
      <c r="BS17" s="46"/>
      <c r="BT17" s="46"/>
      <c r="BU17" s="46"/>
      <c r="BV17" s="49"/>
      <c r="BW17" s="49"/>
      <c r="BX17" s="49"/>
      <c r="BZ17" s="64"/>
      <c r="CA17" s="64"/>
      <c r="CB17" s="64"/>
    </row>
    <row r="18" spans="2:84" s="10" customFormat="1" ht="16.350000000000001" customHeight="1" x14ac:dyDescent="0.25">
      <c r="B18" s="35"/>
      <c r="D18" s="10" t="str" cm="1">
        <f t="array" ref="D18">IF($B18="","",_xll.SNL.Clients.Office.Excel.Functions.SPG($B18, "SP_COMPANY_NAME"))</f>
        <v/>
      </c>
      <c r="G18" s="21" t="str" cm="1">
        <f t="array" ref="G18">IF($B18="","",_xll.SNL.Clients.Office.Excel.Functions.SPG($B18,"SP_LASTSALEPRICE",WORKDAY($F$2+1,-1),"Options:Curr="&amp;I18&amp;",NA=--"))</f>
        <v/>
      </c>
      <c r="H18" s="13" t="str" cm="1">
        <f t="array" ref="H18">IF($B18="","",_xll.SNL.Clients.Office.Excel.Functions.SPG($B18,"SP_PRICE_CLOSE",WORKDAY($F$2+1,-1),"Options:Curr="&amp;$F$3&amp;", NA=--"))</f>
        <v/>
      </c>
      <c r="I18" s="41" t="str" cm="1">
        <f t="array" ref="I18">IF($B18="","",_xll.SNL.Clients.Office.Excel.Functions.SPG($B18,"SP_TRADING_CURRENCY","Options: NA=--"))</f>
        <v/>
      </c>
      <c r="J18" s="15" t="str" cm="1">
        <f t="array" ref="J18">IF($B18="","",_xll.SNL.Clients.Office.Excel.Functions.SPG($B18,"SP_MARKETCAP",WORKDAY($F$2+1,-1),"Options:Curr="&amp;$F$3&amp;", Mag=Millions, NA=--"))</f>
        <v/>
      </c>
      <c r="K18" s="15" t="str" cm="1">
        <f t="array" ref="K18">IF($B18="","",_xll.SNL.Clients.Office.Excel.Functions.SPG($B18,"IQ_TEV",WORKDAY($F$2+1,-1),"Options:Curr="&amp;$F$3&amp;", Mag=Millions, NA=--"))</f>
        <v/>
      </c>
      <c r="L18" s="16" t="str">
        <f>IFERROR(IF(OR($K18/AO18&gt;L$4,$K18/AO18&lt;L$3),"nmf ",$K18/AO18),"n/a ")</f>
        <v xml:space="preserve">n/a </v>
      </c>
      <c r="M18" s="16" t="str">
        <f>IFERROR(IF(OR($K18/AP18&gt;M$4,$K18/AP18&lt;M$3),"nmf ",$K18/AP18),"n/a ")</f>
        <v xml:space="preserve">n/a </v>
      </c>
      <c r="N18" s="16" t="str">
        <f>IFERROR(IF(OR($K18/AQ18&gt;N$4,$K18/AQ18&lt;N$3),"nmf ",$K18/AQ18),"n/a ")</f>
        <v xml:space="preserve">n/a </v>
      </c>
      <c r="O18" s="16" t="str">
        <f>IFERROR(IF(OR($K18/AR18&gt;O$4,$K18/AR18&lt;O$3),"nmf ",$K18/AR18),"n/a ")</f>
        <v xml:space="preserve">n/a </v>
      </c>
      <c r="P18" s="16" t="str">
        <f>IFERROR(IF(OR($K18/AT18&gt;P$4,$K18/AT18&lt;P$3),"nmf ",$K18/AT18),"n/a ")</f>
        <v xml:space="preserve">n/a </v>
      </c>
      <c r="Q18" s="16" t="str">
        <f>IFERROR(IF(OR($K18/AU18&gt;Q$4,$K18/AU18&lt;Q$3),"nmf ",$K18/AU18),"n/a ")</f>
        <v xml:space="preserve">n/a </v>
      </c>
      <c r="R18" s="16" t="str">
        <f>IFERROR(IF(OR($K18/AV18&gt;R$4,$K18/AV18&lt;R$3),"nmf ",$K18/AV18),"n/a ")</f>
        <v xml:space="preserve">n/a </v>
      </c>
      <c r="S18" s="16" t="str">
        <f>IFERROR(IF(OR($K18/AW18&gt;S$4,$K18/AW18&lt;S$3),"nmf ",$K18/AW18),"n/a ")</f>
        <v xml:space="preserve">n/a </v>
      </c>
      <c r="T18" s="34" t="str">
        <f t="shared" ref="T18:U21" si="9">IFERROR((AQ18/AP18)-1,"n/a ")</f>
        <v xml:space="preserve">n/a </v>
      </c>
      <c r="U18" s="34" t="str">
        <f t="shared" si="9"/>
        <v xml:space="preserve">n/a </v>
      </c>
      <c r="V18" s="16" t="str">
        <f>IFERROR(IF(OR($H18/AY18&gt;#REF!,$H18/AY18&lt;#REF!),"nmf ",$H18/AY18),"n/a ")</f>
        <v xml:space="preserve">n/a </v>
      </c>
      <c r="W18" s="16" t="str">
        <f>IFERROR(IF(OR($H18/AZ18&gt;#REF!,$H18/AZ18&lt;#REF!),"nmf ",$H18/AZ18),"n/a ")</f>
        <v xml:space="preserve">n/a </v>
      </c>
      <c r="X18" s="16" t="str">
        <f>IFERROR(IF(OR($H18/BA18&gt;#REF!,$H18/BA18&lt;#REF!),"nmf ",$H18/BA18),"n/a ")</f>
        <v xml:space="preserve">n/a </v>
      </c>
      <c r="Y18" s="16" t="str">
        <f>IFERROR(IF(OR($H18/BC18&gt;#REF!,$H18/BC18&lt;#REF!),"nmf ",$H18/BC18),"n/a ")</f>
        <v xml:space="preserve">n/a </v>
      </c>
      <c r="Z18" s="16" t="str">
        <f>IFERROR(IF(OR($H18/BD18&gt;#REF!,$H18/BD18&lt;#REF!),"nmf ",$H18/BD18),"n/a ")</f>
        <v xml:space="preserve">n/a </v>
      </c>
      <c r="AA18" s="16" t="str">
        <f>IFERROR(IF(OR($H18/BE18&gt;#REF!,$H18/BE18&lt;#REF!),"nmf ",$H18/BE18),"n/a ")</f>
        <v xml:space="preserve">n/a </v>
      </c>
      <c r="AB18" s="34" t="str">
        <f t="shared" ref="AB18:AB21" si="10">IFERROR((AS18/AR18)-1,"n/a ")</f>
        <v xml:space="preserve">n/a </v>
      </c>
      <c r="AC18" s="34" t="str">
        <f t="shared" ref="AC18:AC21" si="11">IFERROR((AT18/AS18)-1,"n/a ")</f>
        <v xml:space="preserve">n/a </v>
      </c>
      <c r="AD18" s="34" t="str">
        <f t="shared" ref="AD18:AD21" si="12">IFERROR((AU18/AT18)-1,"n/a ")</f>
        <v xml:space="preserve">n/a </v>
      </c>
      <c r="AE18" s="34" t="str">
        <f t="shared" ref="AE18:AE21" si="13">IFERROR((AV18/AU18)-1,"n/a ")</f>
        <v xml:space="preserve">n/a </v>
      </c>
      <c r="AF18" s="34" t="str">
        <f t="shared" ref="AF18:AF21" si="14">IFERROR((AW18/AV18)-1,"n/a ")</f>
        <v xml:space="preserve">n/a </v>
      </c>
      <c r="AG18" s="34" t="str">
        <f>IFERROR((BM18/AW18)-1,"n/a ")</f>
        <v xml:space="preserve">n/a </v>
      </c>
      <c r="AH18" s="34" t="str">
        <f t="shared" ref="AH18:AH21" si="15">IFERROR((BN18/BM18)-1,"n/a ")</f>
        <v xml:space="preserve">n/a </v>
      </c>
      <c r="AI18" s="34" t="str">
        <f t="shared" ref="AI18:AI21" si="16">IFERROR((BO18/BN18)-1,"n/a ")</f>
        <v xml:space="preserve">n/a </v>
      </c>
      <c r="AJ18" s="34" t="str">
        <f t="shared" ref="AJ18:AJ21" si="17">IFERROR((BP18/BO18)-1,"n/a ")</f>
        <v xml:space="preserve">n/a </v>
      </c>
      <c r="AK18" s="34" t="str">
        <f t="shared" ref="AK18:AK21" si="18">IFERROR((BQ18/BP18)-1,"n/a ")</f>
        <v xml:space="preserve">n/a </v>
      </c>
      <c r="AL18" s="34" t="str">
        <f t="shared" ref="AL18:AL21" si="19">IFERROR((BR18/BQ18)-1,"n/a ")</f>
        <v xml:space="preserve">n/a </v>
      </c>
      <c r="AM18" s="73"/>
      <c r="AO18" s="20" t="str" cm="1">
        <f t="array" ref="AO18">IF($B18="","",_xll.SNL.Clients.Office.Excel.Functions.SPG($B18,"IQ_REV",AO$7,$F$2,"Options:Curr="&amp;$F$3&amp;", Mag=Millions, NA=--"))</f>
        <v/>
      </c>
      <c r="AP18" s="20" t="str" cm="1">
        <f t="array" ref="AP18">IF($B18="","",_xll.SNL.Clients.Office.Excel.Functions.SPG($B18,"SP_REV_EST",AP$7,$F$2,"Options:Curr="&amp;$F$3&amp;", Mag=Millions, NA=--"))</f>
        <v/>
      </c>
      <c r="AQ18" s="20" t="str" cm="1">
        <f t="array" ref="AQ18">IF($B18="","",_xll.SNL.Clients.Office.Excel.Functions.SPG($B18,"SP_REV_EST",AQ$7,$F$2,"Options:Curr="&amp;$F$3&amp;", Mag=Millions, NA=--"))</f>
        <v/>
      </c>
      <c r="AR18" s="20" t="str" cm="1">
        <f t="array" ref="AR18">IF($B18="","",_xll.SNL.Clients.Office.Excel.Functions.SPG($B18,"SP_REV_EST",AR$7,$F$2,"Options:Curr="&amp;$F$3&amp;", Mag=Millions, NA=--"))</f>
        <v/>
      </c>
      <c r="AT18" s="20" t="str" cm="1">
        <f t="array" ref="AT18">IF($B18="","",_xll.SNL.Clients.Office.Excel.Functions.SPG($B18,"SP_EBITDA",AT$7,$F$2,"Options:Curr="&amp;$F$3&amp;", Mag=Millions, NA=--"))</f>
        <v/>
      </c>
      <c r="AU18" s="20" t="str" cm="1">
        <f t="array" ref="AU18">IF($B18="","",_xll.SNL.Clients.Office.Excel.Functions.SPG($B18,"SP_EBITDA_EST",AU$7,$F$2,"Options:Curr="&amp;$F$3&amp;", Mag=Millions, NA=--"))</f>
        <v/>
      </c>
      <c r="AV18" s="20" t="str" cm="1">
        <f t="array" ref="AV18">IF($B18="","",_xll.SNL.Clients.Office.Excel.Functions.SPG($B18,"SP_EBITDA_EST",AV$7,$F$2,"Options:Curr="&amp;$F$3&amp;", Mag=Millions, NA=--"))</f>
        <v/>
      </c>
      <c r="AW18" s="20" t="str" cm="1">
        <f t="array" ref="AW18">IF($B18="","",_xll.SNL.Clients.Office.Excel.Functions.SPG($B18,"SP_EBITDA_EST",AW$7,$F$2,"Options:Curr="&amp;$F$3&amp;", Mag=Millions, NA=--"))</f>
        <v/>
      </c>
      <c r="AY18" s="13" t="str" cm="1">
        <f t="array" ref="AY18">IF($B18="","",_xll.SNL.Clients.Office.Excel.Functions.SPG($B18,"SP_EPS_EST",AY$7,$F$2,"Options:Curr="&amp;$F$3&amp;", NA=--"))</f>
        <v/>
      </c>
      <c r="AZ18" s="13" t="str" cm="1">
        <f t="array" ref="AZ18">IF($B18="","",_xll.SNL.Clients.Office.Excel.Functions.SPG($B18,"SP_EPS_EST",AZ$7,$F$2,"Options:Curr="&amp;$F$3&amp;", NA=--"))</f>
        <v/>
      </c>
      <c r="BA18" s="13" t="str" cm="1">
        <f t="array" ref="BA18">IF($B18="","",_xll.SNL.Clients.Office.Excel.Functions.SPG($B18,"SP_EPS_EST",BA$7,$F$2,"Options:Curr="&amp;$F$3&amp;", NA=--"))</f>
        <v/>
      </c>
      <c r="BC18" s="13" t="str" cm="1">
        <f t="array" ref="BC18">IF($B18="","",_xll.SNL.Clients.Office.Excel.Functions.SPG($B18,"SP_CFPS_EST",BC$7,$F$2,"Options:Curr="&amp;$F$3&amp;", NA=--"))</f>
        <v/>
      </c>
      <c r="BD18" s="13" t="str" cm="1">
        <f t="array" ref="BD18">IF($B18="","",_xll.SNL.Clients.Office.Excel.Functions.SPG($B18,"SP_CFPS_EST",BD$7,$F$2,"Options:Curr="&amp;$F$3&amp;", NA=--"))</f>
        <v/>
      </c>
      <c r="BE18" s="13" t="str" cm="1">
        <f t="array" ref="BE18">IF($B18="","",_xll.SNL.Clients.Office.Excel.Functions.SPG($B18,"SP_CFPS_EST",BE$7,$F$2,"Options:Curr="&amp;$F$3&amp;", NA=--"))</f>
        <v/>
      </c>
      <c r="BG18" s="67" t="str" cm="1">
        <f t="array" ref="BG18">IF($B18="","",_xll.SNL.Clients.Office.Excel.Functions.SPG($B18,"SP_DIV_YIELD",WORKDAY($F$2+1,-1),"Options: NA=--"))</f>
        <v/>
      </c>
      <c r="BH18" s="19" t="str" cm="1">
        <f t="array" ref="BH18">IF($B18="","",_xll.SNL.Clients.Office.Excel.Functions.SPG($B18,"IQ_TOTAL_EQUITY","FQ0",$F$2,"Options:Curr="&amp;$F$3&amp;", Mag=Millions, NA=--"))</f>
        <v/>
      </c>
      <c r="BI18" s="19" t="str" cm="1">
        <f t="array" ref="BI18">IF($B18="","",_xll.SNL.Clients.Office.Excel.Functions.SPG($B18,"IQ_TOTAL_DEBT","FQ0",$F$2,"Options:Curr="&amp;$F$3&amp;", Mag=Millions, NA=--"))</f>
        <v/>
      </c>
      <c r="BJ18" s="19" t="str" cm="1">
        <f t="array" ref="BJ18">IF($B18="","",_xll.SNL.Clients.Office.Excel.Functions.SPG($B18,"IQ_CASH_ST_INVEST","FQ0",$F$2,"Options:Curr="&amp;$F$3&amp;", Mag=Millions, NA=--"))</f>
        <v/>
      </c>
      <c r="BK18" s="38" t="e">
        <f t="shared" ref="BK18:BK20" si="20">+BI18-BJ18</f>
        <v>#VALUE!</v>
      </c>
      <c r="BL18" s="19" t="str" cm="1">
        <f t="array" ref="BL18">IF($B18="","",_xll.SNL.Clients.Office.Excel.Functions.SPG($B18,"IQ_TOTAL_EQUITY","FQ0",$F$2,"Options:Curr="&amp;$F$3&amp;", Mag=Millions, NA=--"))</f>
        <v/>
      </c>
      <c r="BN18" s="20" t="str">
        <f>IFERROR($AP18*$BR18,"n/a")</f>
        <v>n/a</v>
      </c>
      <c r="BO18" s="20" t="str">
        <f t="shared" ref="BO18:BO21" si="21">IFERROR($AQ18*BS18,"n/a")</f>
        <v>n/a</v>
      </c>
      <c r="BP18" s="20" t="str">
        <f>IFERROR($AR18*$BT18,"n/a")</f>
        <v>n/a</v>
      </c>
      <c r="BR18" s="45" t="str">
        <f>IF($B18="","",IFERROR(_xll.SNL.Clients.Office.Excel.Functions.SPG($B18,"SP_GROSS_MARGIN_EST",BR$7,$F$2,"Options: NA=--")/100,"--"))</f>
        <v/>
      </c>
      <c r="BS18" s="45" t="str">
        <f>IF($B18="","",IFERROR(_xll.SNL.Clients.Office.Excel.Functions.SPG($B18,"SP_GROSS_MARGIN_EST",BS$7,$F$2,"Options: NA=--")/100,"--"))</f>
        <v/>
      </c>
      <c r="BT18" s="45" t="str">
        <f>IF($B18="","",IFERROR(_xll.SNL.Clients.Office.Excel.Functions.SPG($B18,"SP_GROSS_MARGIN_EST",BT$7,$F$2,"Options: NA=--")/100,"--"))</f>
        <v/>
      </c>
      <c r="BU18" s="46"/>
      <c r="BV18" s="48" t="str" cm="1">
        <f t="array" ref="BV18">IF($B18="","",_xll.SNL.Clients.Office.Excel.Functions.SPG($B18,"SP_GROSS_MARGIN_NUM_EST",BV$7,$F$2,"Options: NA=--"))</f>
        <v/>
      </c>
      <c r="BW18" s="48" t="str" cm="1">
        <f t="array" ref="BW18">IF($B18="","",_xll.SNL.Clients.Office.Excel.Functions.SPG($B18,"SP_GROSS_MARGIN_NUM_EST",BW$7,$F$2,"Options: NA=--"))</f>
        <v/>
      </c>
      <c r="BX18" s="48" t="str" cm="1">
        <f t="array" ref="BX18">IF($B18="","",_xll.SNL.Clients.Office.Excel.Functions.SPG($B18,"SP_GROSS_MARGIN_NUM_EST",BX$7,$F$2,"Options: NA=--"))</f>
        <v/>
      </c>
      <c r="BZ18" s="63" t="str">
        <f>IFERROR(IF(CD18/AP18&lt;0,"nmf ",CD18/AP18),"n/a ")</f>
        <v xml:space="preserve">n/a </v>
      </c>
      <c r="CA18" s="63" t="str">
        <f>IFERROR(IF(CE18/AQ18&lt;0,"nmf ",CE18/AQ18),"n/a ")</f>
        <v xml:space="preserve">n/a </v>
      </c>
      <c r="CB18" s="63" t="str">
        <f>IFERROR(IF(CF18/AR18&lt;0,"nmf ",CF18/AR18),"n/a ")</f>
        <v xml:space="preserve">n/a </v>
      </c>
      <c r="CD18" s="20" t="str">
        <f>IFERROR(BR18*AP18,"--")</f>
        <v>--</v>
      </c>
      <c r="CE18" s="20" t="str">
        <f>IFERROR(BS18*AQ18,"--")</f>
        <v>--</v>
      </c>
      <c r="CF18" s="20" t="str">
        <f>IFERROR(BT18*AR18,"--")</f>
        <v>--</v>
      </c>
    </row>
    <row r="19" spans="2:84" s="10" customFormat="1" ht="16.350000000000001" customHeight="1" x14ac:dyDescent="0.25">
      <c r="B19" s="35"/>
      <c r="D19" s="10" t="str" cm="1">
        <f t="array" ref="D19">IF($B19="","",_xll.SNL.Clients.Office.Excel.Functions.SPG($B19, "SP_COMPANY_NAME"))</f>
        <v/>
      </c>
      <c r="G19" s="21" t="str" cm="1">
        <f t="array" ref="G19">IF($B19="","",_xll.SNL.Clients.Office.Excel.Functions.SPG($B19,"SP_LASTSALEPRICE",WORKDAY($F$2+1,-1),"Options:Curr="&amp;I19&amp;",NA=--"))</f>
        <v/>
      </c>
      <c r="H19" s="13" t="str" cm="1">
        <f t="array" ref="H19">IF($B19="","",_xll.SNL.Clients.Office.Excel.Functions.SPG($B19,"SP_PRICE_CLOSE",WORKDAY($F$2+1,-1),"Options:Curr="&amp;$F$3&amp;", NA=--"))</f>
        <v/>
      </c>
      <c r="I19" s="41" t="str" cm="1">
        <f t="array" ref="I19">IF($B19="","",_xll.SNL.Clients.Office.Excel.Functions.SPG($B19,"SP_TRADING_CURRENCY","Options: NA=--"))</f>
        <v/>
      </c>
      <c r="J19" s="15" t="str" cm="1">
        <f t="array" ref="J19">IF($B19="","",_xll.SNL.Clients.Office.Excel.Functions.SPG($B19,"SP_MARKETCAP",WORKDAY($F$2+1,-1),"Options:Curr="&amp;$F$3&amp;", Mag=Millions, NA=--"))</f>
        <v/>
      </c>
      <c r="K19" s="15" t="str" cm="1">
        <f t="array" ref="K19">IF($B19="","",_xll.SNL.Clients.Office.Excel.Functions.SPG($B19,"IQ_TEV",WORKDAY($F$2+1,-1),"Options:Curr="&amp;$F$3&amp;", Mag=Millions, NA=--"))</f>
        <v/>
      </c>
      <c r="L19" s="16" t="str">
        <f>IFERROR(IF(OR($K19/AO19&gt;L$4,$K19/AO19&lt;L$3),"nmf ",$K19/AO19),"n/a ")</f>
        <v xml:space="preserve">n/a </v>
      </c>
      <c r="M19" s="16" t="str">
        <f>IFERROR(IF(OR($K19/AP19&gt;M$4,$K19/AP19&lt;M$3),"nmf ",$K19/AP19),"n/a ")</f>
        <v xml:space="preserve">n/a </v>
      </c>
      <c r="N19" s="16" t="str">
        <f>IFERROR(IF(OR($K19/AQ19&gt;N$4,$K19/AQ19&lt;N$3),"nmf ",$K19/AQ19),"n/a ")</f>
        <v xml:space="preserve">n/a </v>
      </c>
      <c r="O19" s="16" t="str">
        <f>IFERROR(IF(OR($K19/AR19&gt;O$4,$K19/AR19&lt;O$3),"nmf ",$K19/AR19),"n/a ")</f>
        <v xml:space="preserve">n/a </v>
      </c>
      <c r="P19" s="16" t="str">
        <f>IFERROR(IF(OR($K19/AT19&gt;P$4,$K19/AT19&lt;P$3),"nmf ",$K19/AT19),"n/a ")</f>
        <v xml:space="preserve">n/a </v>
      </c>
      <c r="Q19" s="16" t="str">
        <f>IFERROR(IF(OR($K19/AU19&gt;Q$4,$K19/AU19&lt;Q$3),"nmf ",$K19/AU19),"n/a ")</f>
        <v xml:space="preserve">n/a </v>
      </c>
      <c r="R19" s="16" t="str">
        <f>IFERROR(IF(OR($K19/AV19&gt;R$4,$K19/AV19&lt;R$3),"nmf ",$K19/AV19),"n/a ")</f>
        <v xml:space="preserve">n/a </v>
      </c>
      <c r="S19" s="16" t="str">
        <f>IFERROR(IF(OR($K19/AW19&gt;S$4,$K19/AW19&lt;S$3),"nmf ",$K19/AW19),"n/a ")</f>
        <v xml:space="preserve">n/a </v>
      </c>
      <c r="T19" s="34" t="str">
        <f t="shared" si="9"/>
        <v xml:space="preserve">n/a </v>
      </c>
      <c r="U19" s="34" t="str">
        <f t="shared" si="9"/>
        <v xml:space="preserve">n/a </v>
      </c>
      <c r="V19" s="16" t="str">
        <f>IFERROR(IF(OR($H19/AY19&gt;#REF!,$H19/AY19&lt;#REF!),"nmf ",$H19/AY19),"n/a ")</f>
        <v xml:space="preserve">n/a </v>
      </c>
      <c r="W19" s="16" t="str">
        <f>IFERROR(IF(OR($H19/AZ19&gt;#REF!,$H19/AZ19&lt;#REF!),"nmf ",$H19/AZ19),"n/a ")</f>
        <v xml:space="preserve">n/a </v>
      </c>
      <c r="X19" s="16" t="str">
        <f>IFERROR(IF(OR($H19/BA19&gt;#REF!,$H19/BA19&lt;#REF!),"nmf ",$H19/BA19),"n/a ")</f>
        <v xml:space="preserve">n/a </v>
      </c>
      <c r="Y19" s="16" t="str">
        <f>IFERROR(IF(OR($H19/BC19&gt;#REF!,$H19/BC19&lt;#REF!),"nmf ",$H19/BC19),"n/a ")</f>
        <v xml:space="preserve">n/a </v>
      </c>
      <c r="Z19" s="16" t="str">
        <f>IFERROR(IF(OR($H19/BD19&gt;#REF!,$H19/BD19&lt;#REF!),"nmf ",$H19/BD19),"n/a ")</f>
        <v xml:space="preserve">n/a </v>
      </c>
      <c r="AA19" s="16" t="str">
        <f>IFERROR(IF(OR($H19/BE19&gt;#REF!,$H19/BE19&lt;#REF!),"nmf ",$H19/BE19),"n/a ")</f>
        <v xml:space="preserve">n/a </v>
      </c>
      <c r="AB19" s="34" t="str">
        <f t="shared" si="10"/>
        <v xml:space="preserve">n/a </v>
      </c>
      <c r="AC19" s="34" t="str">
        <f t="shared" si="11"/>
        <v xml:space="preserve">n/a </v>
      </c>
      <c r="AD19" s="34" t="str">
        <f t="shared" si="12"/>
        <v xml:space="preserve">n/a </v>
      </c>
      <c r="AE19" s="34" t="str">
        <f t="shared" si="13"/>
        <v xml:space="preserve">n/a </v>
      </c>
      <c r="AF19" s="34" t="str">
        <f t="shared" si="14"/>
        <v xml:space="preserve">n/a </v>
      </c>
      <c r="AG19" s="34" t="str">
        <f>IFERROR((BM19/AW19)-1,"n/a ")</f>
        <v xml:space="preserve">n/a </v>
      </c>
      <c r="AH19" s="34" t="str">
        <f t="shared" si="15"/>
        <v xml:space="preserve">n/a </v>
      </c>
      <c r="AI19" s="34" t="str">
        <f t="shared" si="16"/>
        <v xml:space="preserve">n/a </v>
      </c>
      <c r="AJ19" s="34" t="str">
        <f t="shared" si="17"/>
        <v xml:space="preserve">n/a </v>
      </c>
      <c r="AK19" s="34" t="str">
        <f t="shared" si="18"/>
        <v xml:space="preserve">n/a </v>
      </c>
      <c r="AL19" s="34" t="str">
        <f t="shared" si="19"/>
        <v xml:space="preserve">n/a </v>
      </c>
      <c r="AM19" s="73"/>
      <c r="AO19" s="20" t="str" cm="1">
        <f t="array" ref="AO19">IF($B19="","",_xll.SNL.Clients.Office.Excel.Functions.SPG($B19,"IQ_REV",AO$7,$F$2,"Options:Curr="&amp;$F$3&amp;", Mag=Millions, NA=--"))</f>
        <v/>
      </c>
      <c r="AP19" s="20" t="str" cm="1">
        <f t="array" ref="AP19">IF($B19="","",_xll.SNL.Clients.Office.Excel.Functions.SPG($B19,"SP_REV_EST",AP$7,$F$2,"Options:Curr="&amp;$F$3&amp;", Mag=Millions, NA=--"))</f>
        <v/>
      </c>
      <c r="AQ19" s="20" t="str" cm="1">
        <f t="array" ref="AQ19">IF($B19="","",_xll.SNL.Clients.Office.Excel.Functions.SPG($B19,"SP_REV_EST",AQ$7,$F$2,"Options:Curr="&amp;$F$3&amp;", Mag=Millions, NA=--"))</f>
        <v/>
      </c>
      <c r="AR19" s="20" t="str" cm="1">
        <f t="array" ref="AR19">IF($B19="","",_xll.SNL.Clients.Office.Excel.Functions.SPG($B19,"SP_REV_EST",AR$7,$F$2,"Options:Curr="&amp;$F$3&amp;", Mag=Millions, NA=--"))</f>
        <v/>
      </c>
      <c r="AT19" s="20" t="str" cm="1">
        <f t="array" ref="AT19">IF($B19="","",_xll.SNL.Clients.Office.Excel.Functions.SPG($B19,"SP_EBITDA",AT$7,$F$2,"Options:Curr="&amp;$F$3&amp;", Mag=Millions, NA=--"))</f>
        <v/>
      </c>
      <c r="AU19" s="20" t="str" cm="1">
        <f t="array" ref="AU19">IF($B19="","",_xll.SNL.Clients.Office.Excel.Functions.SPG($B19,"SP_EBITDA_EST",AU$7,$F$2,"Options:Curr="&amp;$F$3&amp;", Mag=Millions, NA=--"))</f>
        <v/>
      </c>
      <c r="AV19" s="20" t="str" cm="1">
        <f t="array" ref="AV19">IF($B19="","",_xll.SNL.Clients.Office.Excel.Functions.SPG($B19,"SP_EBITDA_EST",AV$7,$F$2,"Options:Curr="&amp;$F$3&amp;", Mag=Millions, NA=--"))</f>
        <v/>
      </c>
      <c r="AW19" s="20" t="str" cm="1">
        <f t="array" ref="AW19">IF($B19="","",_xll.SNL.Clients.Office.Excel.Functions.SPG($B19,"SP_EBITDA_EST",AW$7,$F$2,"Options:Curr="&amp;$F$3&amp;", Mag=Millions, NA=--"))</f>
        <v/>
      </c>
      <c r="AY19" s="13" t="str" cm="1">
        <f t="array" ref="AY19">IF($B19="","",_xll.SNL.Clients.Office.Excel.Functions.SPG($B19,"SP_EPS_EST",AY$7,$F$2,"Options:Curr="&amp;$F$3&amp;", NA=--"))</f>
        <v/>
      </c>
      <c r="AZ19" s="13" t="str" cm="1">
        <f t="array" ref="AZ19">IF($B19="","",_xll.SNL.Clients.Office.Excel.Functions.SPG($B19,"SP_EPS_EST",AZ$7,$F$2,"Options:Curr="&amp;$F$3&amp;", NA=--"))</f>
        <v/>
      </c>
      <c r="BA19" s="13" t="str" cm="1">
        <f t="array" ref="BA19">IF($B19="","",_xll.SNL.Clients.Office.Excel.Functions.SPG($B19,"SP_EPS_EST",BA$7,$F$2,"Options:Curr="&amp;$F$3&amp;", NA=--"))</f>
        <v/>
      </c>
      <c r="BC19" s="13" t="str" cm="1">
        <f t="array" ref="BC19">IF($B19="","",_xll.SNL.Clients.Office.Excel.Functions.SPG($B19,"SP_CFPS_EST",BC$7,$F$2,"Options:Curr="&amp;$F$3&amp;", NA=--"))</f>
        <v/>
      </c>
      <c r="BD19" s="13" t="str" cm="1">
        <f t="array" ref="BD19">IF($B19="","",_xll.SNL.Clients.Office.Excel.Functions.SPG($B19,"SP_CFPS_EST",BD$7,$F$2,"Options:Curr="&amp;$F$3&amp;", NA=--"))</f>
        <v/>
      </c>
      <c r="BE19" s="13" t="str" cm="1">
        <f t="array" ref="BE19">IF($B19="","",_xll.SNL.Clients.Office.Excel.Functions.SPG($B19,"SP_CFPS_EST",BE$7,$F$2,"Options:Curr="&amp;$F$3&amp;", NA=--"))</f>
        <v/>
      </c>
      <c r="BG19" s="67" t="str" cm="1">
        <f t="array" ref="BG19">IF($B19="","",_xll.SNL.Clients.Office.Excel.Functions.SPG($B19,"SP_DIV_YIELD",WORKDAY($F$2+1,-1),"Options: NA=--"))</f>
        <v/>
      </c>
      <c r="BH19" s="19" t="str" cm="1">
        <f t="array" ref="BH19">IF($B19="","",_xll.SNL.Clients.Office.Excel.Functions.SPG($B19,"IQ_TOTAL_EQUITY","FQ0",$F$2,"Options:Curr="&amp;$F$3&amp;", Mag=Millions, NA=--"))</f>
        <v/>
      </c>
      <c r="BI19" s="19" t="str" cm="1">
        <f t="array" ref="BI19">IF($B19="","",_xll.SNL.Clients.Office.Excel.Functions.SPG($B19,"IQ_TOTAL_DEBT","FQ0",$F$2,"Options:Curr="&amp;$F$3&amp;", Mag=Millions, NA=--"))</f>
        <v/>
      </c>
      <c r="BJ19" s="19" t="str" cm="1">
        <f t="array" ref="BJ19">IF($B19="","",_xll.SNL.Clients.Office.Excel.Functions.SPG($B19,"IQ_CASH_ST_INVEST","FQ0",$F$2,"Options:Curr="&amp;$F$3&amp;", Mag=Millions, NA=--"))</f>
        <v/>
      </c>
      <c r="BK19" s="38" t="e">
        <f t="shared" si="20"/>
        <v>#VALUE!</v>
      </c>
      <c r="BL19" s="19" t="str" cm="1">
        <f t="array" ref="BL19">IF($B19="","",_xll.SNL.Clients.Office.Excel.Functions.SPG($B19,"IQ_TOTAL_EQUITY","FQ0",$F$2,"Options:Curr="&amp;$F$3&amp;", Mag=Millions, NA=--"))</f>
        <v/>
      </c>
      <c r="BN19" s="20" t="str">
        <f>IFERROR($AP19*$BR19,"n/a")</f>
        <v>n/a</v>
      </c>
      <c r="BO19" s="20" t="str">
        <f t="shared" si="21"/>
        <v>n/a</v>
      </c>
      <c r="BP19" s="20" t="str">
        <f>IFERROR($AR19*$BT19,"n/a")</f>
        <v>n/a</v>
      </c>
      <c r="BR19" s="45" t="str">
        <f>IF($B19="","",IFERROR(_xll.SNL.Clients.Office.Excel.Functions.SPG($B19,"SP_GROSS_MARGIN_EST",BR$7,$F$2,"Options: NA=--")/100,"--"))</f>
        <v/>
      </c>
      <c r="BS19" s="45" t="str">
        <f>IF($B19="","",IFERROR(_xll.SNL.Clients.Office.Excel.Functions.SPG($B19,"SP_GROSS_MARGIN_EST",BS$7,$F$2,"Options: NA=--")/100,"--"))</f>
        <v/>
      </c>
      <c r="BT19" s="45" t="str">
        <f>IF($B19="","",IFERROR(_xll.SNL.Clients.Office.Excel.Functions.SPG($B19,"SP_GROSS_MARGIN_EST",BT$7,$F$2,"Options: NA=--")/100,"--"))</f>
        <v/>
      </c>
      <c r="BU19" s="46"/>
      <c r="BV19" s="48" t="str" cm="1">
        <f t="array" ref="BV19">IF($B19="","",_xll.SNL.Clients.Office.Excel.Functions.SPG($B19,"SP_GROSS_MARGIN_NUM_EST",BV$7,$F$2,"Options: NA=--"))</f>
        <v/>
      </c>
      <c r="BW19" s="48" t="str" cm="1">
        <f t="array" ref="BW19">IF($B19="","",_xll.SNL.Clients.Office.Excel.Functions.SPG($B19,"SP_GROSS_MARGIN_NUM_EST",BW$7,$F$2,"Options: NA=--"))</f>
        <v/>
      </c>
      <c r="BX19" s="48" t="str" cm="1">
        <f t="array" ref="BX19">IF($B19="","",_xll.SNL.Clients.Office.Excel.Functions.SPG($B19,"SP_GROSS_MARGIN_NUM_EST",BX$7,$F$2,"Options: NA=--"))</f>
        <v/>
      </c>
      <c r="BZ19" s="63" t="str">
        <f>IFERROR(IF(CD19/AP19&lt;0,"nmf ",CD19/AP19),"n/a ")</f>
        <v xml:space="preserve">n/a </v>
      </c>
      <c r="CA19" s="63" t="str">
        <f>IFERROR(IF(CE19/AQ19&lt;0,"nmf ",CE19/AQ19),"n/a ")</f>
        <v xml:space="preserve">n/a </v>
      </c>
      <c r="CB19" s="63" t="str">
        <f>IFERROR(IF(CF19/AR19&lt;0,"nmf ",CF19/AR19),"n/a ")</f>
        <v xml:space="preserve">n/a </v>
      </c>
      <c r="CD19" s="20" t="str">
        <f>IFERROR(BR19*AP19,"--")</f>
        <v>--</v>
      </c>
      <c r="CE19" s="20" t="str">
        <f>IFERROR(BS19*AQ19,"--")</f>
        <v>--</v>
      </c>
      <c r="CF19" s="20" t="str">
        <f>IFERROR(BT19*AR19,"--")</f>
        <v>--</v>
      </c>
    </row>
    <row r="20" spans="2:84" s="10" customFormat="1" ht="16.350000000000001" customHeight="1" x14ac:dyDescent="0.25">
      <c r="B20" s="35"/>
      <c r="D20" s="10" t="str" cm="1">
        <f t="array" ref="D20">IF($B20="","",_xll.SNL.Clients.Office.Excel.Functions.SPG($B20, "SP_COMPANY_NAME"))</f>
        <v/>
      </c>
      <c r="G20" s="21" t="str" cm="1">
        <f t="array" ref="G20">IF($B20="","",_xll.SNL.Clients.Office.Excel.Functions.SPG($B20,"SP_LASTSALEPRICE",WORKDAY($F$2+1,-1),"Options:Curr="&amp;I20&amp;",NA=--"))</f>
        <v/>
      </c>
      <c r="H20" s="13" t="str" cm="1">
        <f t="array" ref="H20">IF($B20="","",_xll.SNL.Clients.Office.Excel.Functions.SPG($B20,"SP_PRICE_CLOSE",WORKDAY($F$2+1,-1),"Options:Curr="&amp;$F$3&amp;", NA=--"))</f>
        <v/>
      </c>
      <c r="I20" s="41" t="str" cm="1">
        <f t="array" ref="I20">IF($B20="","",_xll.SNL.Clients.Office.Excel.Functions.SPG($B20,"SP_TRADING_CURRENCY","Options: NA=--"))</f>
        <v/>
      </c>
      <c r="J20" s="15" t="str" cm="1">
        <f t="array" ref="J20">IF($B20="","",_xll.SNL.Clients.Office.Excel.Functions.SPG($B20,"SP_MARKETCAP",WORKDAY($F$2+1,-1),"Options:Curr="&amp;$F$3&amp;", Mag=Millions, NA=--"))</f>
        <v/>
      </c>
      <c r="K20" s="15" t="str" cm="1">
        <f t="array" ref="K20">IF($B20="","",_xll.SNL.Clients.Office.Excel.Functions.SPG($B20,"IQ_TEV",WORKDAY($F$2+1,-1),"Options:Curr="&amp;$F$3&amp;", Mag=Millions, NA=--"))</f>
        <v/>
      </c>
      <c r="L20" s="16" t="str">
        <f>IFERROR(IF(OR($K20/AO20&gt;L$4,$K20/AO20&lt;L$3),"nmf ",$K20/AO20),"n/a ")</f>
        <v xml:space="preserve">n/a </v>
      </c>
      <c r="M20" s="16" t="str">
        <f>IFERROR(IF(OR($K20/AP20&gt;M$4,$K20/AP20&lt;M$3),"nmf ",$K20/AP20),"n/a ")</f>
        <v xml:space="preserve">n/a </v>
      </c>
      <c r="N20" s="16" t="str">
        <f>IFERROR(IF(OR($K20/AQ20&gt;N$4,$K20/AQ20&lt;N$3),"nmf ",$K20/AQ20),"n/a ")</f>
        <v xml:space="preserve">n/a </v>
      </c>
      <c r="O20" s="16" t="str">
        <f>IFERROR(IF(OR($K20/AR20&gt;O$4,$K20/AR20&lt;O$3),"nmf ",$K20/AR20),"n/a ")</f>
        <v xml:space="preserve">n/a </v>
      </c>
      <c r="P20" s="16" t="str">
        <f>IFERROR(IF(OR($K20/AT20&gt;P$4,$K20/AT20&lt;P$3),"nmf ",$K20/AT20),"n/a ")</f>
        <v xml:space="preserve">n/a </v>
      </c>
      <c r="Q20" s="16" t="str">
        <f>IFERROR(IF(OR($K20/AU20&gt;Q$4,$K20/AU20&lt;Q$3),"nmf ",$K20/AU20),"n/a ")</f>
        <v xml:space="preserve">n/a </v>
      </c>
      <c r="R20" s="16" t="str">
        <f>IFERROR(IF(OR($K20/AV20&gt;R$4,$K20/AV20&lt;R$3),"nmf ",$K20/AV20),"n/a ")</f>
        <v xml:space="preserve">n/a </v>
      </c>
      <c r="S20" s="16" t="str">
        <f>IFERROR(IF(OR($K20/AW20&gt;S$4,$K20/AW20&lt;S$3),"nmf ",$K20/AW20),"n/a ")</f>
        <v xml:space="preserve">n/a </v>
      </c>
      <c r="T20" s="34" t="str">
        <f t="shared" si="9"/>
        <v xml:space="preserve">n/a </v>
      </c>
      <c r="U20" s="34" t="str">
        <f t="shared" si="9"/>
        <v xml:space="preserve">n/a </v>
      </c>
      <c r="V20" s="16" t="str">
        <f>IFERROR(IF(OR($H20/AY20&gt;#REF!,$H20/AY20&lt;#REF!),"nmf ",$H20/AY20),"n/a ")</f>
        <v xml:space="preserve">n/a </v>
      </c>
      <c r="W20" s="16" t="str">
        <f>IFERROR(IF(OR($H20/AZ20&gt;#REF!,$H20/AZ20&lt;#REF!),"nmf ",$H20/AZ20),"n/a ")</f>
        <v xml:space="preserve">n/a </v>
      </c>
      <c r="X20" s="16" t="str">
        <f>IFERROR(IF(OR($H20/BA20&gt;#REF!,$H20/BA20&lt;#REF!),"nmf ",$H20/BA20),"n/a ")</f>
        <v xml:space="preserve">n/a </v>
      </c>
      <c r="Y20" s="16" t="str">
        <f>IFERROR(IF(OR($H20/BC20&gt;#REF!,$H20/BC20&lt;#REF!),"nmf ",$H20/BC20),"n/a ")</f>
        <v xml:space="preserve">n/a </v>
      </c>
      <c r="Z20" s="16" t="str">
        <f>IFERROR(IF(OR($H20/BD20&gt;#REF!,$H20/BD20&lt;#REF!),"nmf ",$H20/BD20),"n/a ")</f>
        <v xml:space="preserve">n/a </v>
      </c>
      <c r="AA20" s="16" t="str">
        <f>IFERROR(IF(OR($H20/BE20&gt;#REF!,$H20/BE20&lt;#REF!),"nmf ",$H20/BE20),"n/a ")</f>
        <v xml:space="preserve">n/a </v>
      </c>
      <c r="AB20" s="34" t="str">
        <f t="shared" si="10"/>
        <v xml:space="preserve">n/a </v>
      </c>
      <c r="AC20" s="34" t="str">
        <f t="shared" si="11"/>
        <v xml:space="preserve">n/a </v>
      </c>
      <c r="AD20" s="34" t="str">
        <f t="shared" si="12"/>
        <v xml:space="preserve">n/a </v>
      </c>
      <c r="AE20" s="34" t="str">
        <f t="shared" si="13"/>
        <v xml:space="preserve">n/a </v>
      </c>
      <c r="AF20" s="34" t="str">
        <f t="shared" si="14"/>
        <v xml:space="preserve">n/a </v>
      </c>
      <c r="AG20" s="34" t="str">
        <f>IFERROR((BM20/AW20)-1,"n/a ")</f>
        <v xml:space="preserve">n/a </v>
      </c>
      <c r="AH20" s="34" t="str">
        <f t="shared" si="15"/>
        <v xml:space="preserve">n/a </v>
      </c>
      <c r="AI20" s="34" t="str">
        <f t="shared" si="16"/>
        <v xml:space="preserve">n/a </v>
      </c>
      <c r="AJ20" s="34" t="str">
        <f t="shared" si="17"/>
        <v xml:space="preserve">n/a </v>
      </c>
      <c r="AK20" s="34" t="str">
        <f t="shared" si="18"/>
        <v xml:space="preserve">n/a </v>
      </c>
      <c r="AL20" s="34" t="str">
        <f t="shared" si="19"/>
        <v xml:space="preserve">n/a </v>
      </c>
      <c r="AM20" s="73"/>
      <c r="AO20" s="20" t="str" cm="1">
        <f t="array" ref="AO20">IF($B20="","",_xll.SNL.Clients.Office.Excel.Functions.SPG($B20,"IQ_REV",AO$7,$F$2,"Options:Curr="&amp;$F$3&amp;", Mag=Millions, NA=--"))</f>
        <v/>
      </c>
      <c r="AP20" s="20" t="str" cm="1">
        <f t="array" ref="AP20">IF($B20="","",_xll.SNL.Clients.Office.Excel.Functions.SPG($B20,"SP_REV_EST",AP$7,$F$2,"Options:Curr="&amp;$F$3&amp;", Mag=Millions, NA=--"))</f>
        <v/>
      </c>
      <c r="AQ20" s="20" t="str" cm="1">
        <f t="array" ref="AQ20">IF($B20="","",_xll.SNL.Clients.Office.Excel.Functions.SPG($B20,"SP_REV_EST",AQ$7,$F$2,"Options:Curr="&amp;$F$3&amp;", Mag=Millions, NA=--"))</f>
        <v/>
      </c>
      <c r="AR20" s="20" t="str" cm="1">
        <f t="array" ref="AR20">IF($B20="","",_xll.SNL.Clients.Office.Excel.Functions.SPG($B20,"SP_REV_EST",AR$7,$F$2,"Options:Curr="&amp;$F$3&amp;", Mag=Millions, NA=--"))</f>
        <v/>
      </c>
      <c r="AT20" s="20" t="str" cm="1">
        <f t="array" ref="AT20">IF($B20="","",_xll.SNL.Clients.Office.Excel.Functions.SPG($B20,"SP_EBITDA",AT$7,$F$2,"Options:Curr="&amp;$F$3&amp;", Mag=Millions, NA=--"))</f>
        <v/>
      </c>
      <c r="AU20" s="20" t="str" cm="1">
        <f t="array" ref="AU20">IF($B20="","",_xll.SNL.Clients.Office.Excel.Functions.SPG($B20,"SP_EBITDA_EST",AU$7,$F$2,"Options:Curr="&amp;$F$3&amp;", Mag=Millions, NA=--"))</f>
        <v/>
      </c>
      <c r="AV20" s="20" t="str" cm="1">
        <f t="array" ref="AV20">IF($B20="","",_xll.SNL.Clients.Office.Excel.Functions.SPG($B20,"SP_EBITDA_EST",AV$7,$F$2,"Options:Curr="&amp;$F$3&amp;", Mag=Millions, NA=--"))</f>
        <v/>
      </c>
      <c r="AW20" s="20" t="str" cm="1">
        <f t="array" ref="AW20">IF($B20="","",_xll.SNL.Clients.Office.Excel.Functions.SPG($B20,"SP_EBITDA_EST",AW$7,$F$2,"Options:Curr="&amp;$F$3&amp;", Mag=Millions, NA=--"))</f>
        <v/>
      </c>
      <c r="AY20" s="13" t="str" cm="1">
        <f t="array" ref="AY20">IF($B20="","",_xll.SNL.Clients.Office.Excel.Functions.SPG($B20,"SP_EPS_EST",AY$7,$F$2,"Options:Curr="&amp;$F$3&amp;", NA=--"))</f>
        <v/>
      </c>
      <c r="AZ20" s="13" t="str" cm="1">
        <f t="array" ref="AZ20">IF($B20="","",_xll.SNL.Clients.Office.Excel.Functions.SPG($B20,"SP_EPS_EST",AZ$7,$F$2,"Options:Curr="&amp;$F$3&amp;", NA=--"))</f>
        <v/>
      </c>
      <c r="BA20" s="13" t="str" cm="1">
        <f t="array" ref="BA20">IF($B20="","",_xll.SNL.Clients.Office.Excel.Functions.SPG($B20,"SP_EPS_EST",BA$7,$F$2,"Options:Curr="&amp;$F$3&amp;", NA=--"))</f>
        <v/>
      </c>
      <c r="BC20" s="13" t="str" cm="1">
        <f t="array" ref="BC20">IF($B20="","",_xll.SNL.Clients.Office.Excel.Functions.SPG($B20,"SP_CFPS_EST",BC$7,$F$2,"Options:Curr="&amp;$F$3&amp;", NA=--"))</f>
        <v/>
      </c>
      <c r="BD20" s="13" t="str" cm="1">
        <f t="array" ref="BD20">IF($B20="","",_xll.SNL.Clients.Office.Excel.Functions.SPG($B20,"SP_CFPS_EST",BD$7,$F$2,"Options:Curr="&amp;$F$3&amp;", NA=--"))</f>
        <v/>
      </c>
      <c r="BE20" s="13" t="str" cm="1">
        <f t="array" ref="BE20">IF($B20="","",_xll.SNL.Clients.Office.Excel.Functions.SPG($B20,"SP_CFPS_EST",BE$7,$F$2,"Options:Curr="&amp;$F$3&amp;", NA=--"))</f>
        <v/>
      </c>
      <c r="BG20" s="67" t="str" cm="1">
        <f t="array" ref="BG20">IF($B20="","",_xll.SNL.Clients.Office.Excel.Functions.SPG($B20,"SP_DIV_YIELD",WORKDAY($F$2+1,-1),"Options: NA=--"))</f>
        <v/>
      </c>
      <c r="BH20" s="19" t="str" cm="1">
        <f t="array" ref="BH20">IF($B20="","",_xll.SNL.Clients.Office.Excel.Functions.SPG($B20,"IQ_TOTAL_EQUITY","FQ0",$F$2,"Options:Curr="&amp;$F$3&amp;", Mag=Millions, NA=--"))</f>
        <v/>
      </c>
      <c r="BI20" s="19" t="str" cm="1">
        <f t="array" ref="BI20">IF($B20="","",_xll.SNL.Clients.Office.Excel.Functions.SPG($B20,"IQ_TOTAL_DEBT","FQ0",$F$2,"Options:Curr="&amp;$F$3&amp;", Mag=Millions, NA=--"))</f>
        <v/>
      </c>
      <c r="BJ20" s="19" t="str" cm="1">
        <f t="array" ref="BJ20">IF($B20="","",_xll.SNL.Clients.Office.Excel.Functions.SPG($B20,"IQ_CASH_ST_INVEST","FQ0",$F$2,"Options:Curr="&amp;$F$3&amp;", Mag=Millions, NA=--"))</f>
        <v/>
      </c>
      <c r="BK20" s="38" t="e">
        <f t="shared" si="20"/>
        <v>#VALUE!</v>
      </c>
      <c r="BL20" s="19" t="str" cm="1">
        <f t="array" ref="BL20">IF($B20="","",_xll.SNL.Clients.Office.Excel.Functions.SPG($B20,"IQ_TOTAL_EQUITY","FQ0",$F$2,"Options:Curr="&amp;$F$3&amp;", Mag=Millions, NA=--"))</f>
        <v/>
      </c>
      <c r="BN20" s="20" t="str">
        <f>IFERROR($AP20*$BR20,"n/a")</f>
        <v>n/a</v>
      </c>
      <c r="BO20" s="20" t="str">
        <f t="shared" si="21"/>
        <v>n/a</v>
      </c>
      <c r="BP20" s="20" t="str">
        <f>IFERROR($AR20*$BT20,"n/a")</f>
        <v>n/a</v>
      </c>
      <c r="BR20" s="45" t="str">
        <f>IF($B20="","",IFERROR(_xll.SNL.Clients.Office.Excel.Functions.SPG($B20,"SP_GROSS_MARGIN_EST",BR$7,$F$2,"Options: NA=--")/100,"--"))</f>
        <v/>
      </c>
      <c r="BS20" s="45" t="str">
        <f>IF($B20="","",IFERROR(_xll.SNL.Clients.Office.Excel.Functions.SPG($B20,"SP_GROSS_MARGIN_EST",BS$7,$F$2,"Options: NA=--")/100,"--"))</f>
        <v/>
      </c>
      <c r="BT20" s="45" t="str">
        <f>IF($B20="","",IFERROR(_xll.SNL.Clients.Office.Excel.Functions.SPG($B20,"SP_GROSS_MARGIN_EST",BT$7,$F$2,"Options: NA=--")/100,"--"))</f>
        <v/>
      </c>
      <c r="BU20" s="46"/>
      <c r="BV20" s="48" t="str" cm="1">
        <f t="array" ref="BV20">IF($B20="","",_xll.SNL.Clients.Office.Excel.Functions.SPG($B20,"SP_GROSS_MARGIN_NUM_EST",BV$7,$F$2,"Options: NA=--"))</f>
        <v/>
      </c>
      <c r="BW20" s="48" t="str" cm="1">
        <f t="array" ref="BW20">IF($B20="","",_xll.SNL.Clients.Office.Excel.Functions.SPG($B20,"SP_GROSS_MARGIN_NUM_EST",BW$7,$F$2,"Options: NA=--"))</f>
        <v/>
      </c>
      <c r="BX20" s="48" t="str" cm="1">
        <f t="array" ref="BX20">IF($B20="","",_xll.SNL.Clients.Office.Excel.Functions.SPG($B20,"SP_GROSS_MARGIN_NUM_EST",BX$7,$F$2,"Options: NA=--"))</f>
        <v/>
      </c>
      <c r="BZ20" s="63" t="str">
        <f>IFERROR(IF(CD20/AP20&lt;0,"nmf ",CD20/AP20),"n/a ")</f>
        <v xml:space="preserve">n/a </v>
      </c>
      <c r="CA20" s="63" t="str">
        <f>IFERROR(IF(CE20/AQ20&lt;0,"nmf ",CE20/AQ20),"n/a ")</f>
        <v xml:space="preserve">n/a </v>
      </c>
      <c r="CB20" s="63" t="str">
        <f>IFERROR(IF(CF20/AR20&lt;0,"nmf ",CF20/AR20),"n/a ")</f>
        <v xml:space="preserve">n/a </v>
      </c>
      <c r="CD20" s="20" t="str">
        <f>IFERROR(BR20*AP20,"--")</f>
        <v>--</v>
      </c>
      <c r="CE20" s="20" t="str">
        <f>IFERROR(BS20*AQ20,"--")</f>
        <v>--</v>
      </c>
      <c r="CF20" s="20" t="str">
        <f>IFERROR(BT20*AR20,"--")</f>
        <v>--</v>
      </c>
    </row>
    <row r="21" spans="2:84" s="10" customFormat="1" ht="16.350000000000001" customHeight="1" x14ac:dyDescent="0.25">
      <c r="B21" s="35"/>
      <c r="D21" s="10" t="str" cm="1">
        <f t="array" ref="D21">IF($B21="","",_xll.SNL.Clients.Office.Excel.Functions.SPG($B21, "SP_COMPANY_NAME"))</f>
        <v/>
      </c>
      <c r="G21" s="21" t="str" cm="1">
        <f t="array" ref="G21">IF($B21="","",_xll.SNL.Clients.Office.Excel.Functions.SPG($B21,"SP_LASTSALEPRICE",WORKDAY($F$2+1,-1),"Options:Curr="&amp;I21&amp;",NA=--"))</f>
        <v/>
      </c>
      <c r="H21" s="13" t="str" cm="1">
        <f t="array" ref="H21">IF($B21="","",_xll.SNL.Clients.Office.Excel.Functions.SPG($B21,"SP_PRICE_CLOSE",WORKDAY($F$2+1,-1),"Options:Curr="&amp;$F$3&amp;", NA=--"))</f>
        <v/>
      </c>
      <c r="I21" s="41" t="str" cm="1">
        <f t="array" ref="I21">IF($B21="","",_xll.SNL.Clients.Office.Excel.Functions.SPG($B21,"SP_TRADING_CURRENCY","Options: NA=--"))</f>
        <v/>
      </c>
      <c r="J21" s="15" t="str" cm="1">
        <f t="array" ref="J21">IF($B21="","",_xll.SNL.Clients.Office.Excel.Functions.SPG($B21,"SP_MARKETCAP",WORKDAY($F$2+1,-1),"Options:Curr="&amp;$F$3&amp;", Mag=Millions, NA=--"))</f>
        <v/>
      </c>
      <c r="K21" s="15" t="str" cm="1">
        <f t="array" ref="K21">IF($B21="","",_xll.SNL.Clients.Office.Excel.Functions.SPG($B21,"IQ_TEV",WORKDAY($F$2+1,-1),"Options:Curr="&amp;$F$3&amp;", Mag=Millions, NA=--"))</f>
        <v/>
      </c>
      <c r="L21" s="16" t="str">
        <f>IFERROR(IF(OR($K21/AO21&gt;L$4,$K21/AO21&lt;L$3),"nmf ",$K21/AO21),"n/a ")</f>
        <v xml:space="preserve">n/a </v>
      </c>
      <c r="M21" s="16" t="str">
        <f>IFERROR(IF(OR($K21/AP21&gt;M$4,$K21/AP21&lt;M$3),"nmf ",$K21/AP21),"n/a ")</f>
        <v xml:space="preserve">n/a </v>
      </c>
      <c r="N21" s="16" t="str">
        <f>IFERROR(IF(OR($K21/AQ21&gt;N$4,$K21/AQ21&lt;N$3),"nmf ",$K21/AQ21),"n/a ")</f>
        <v xml:space="preserve">n/a </v>
      </c>
      <c r="O21" s="16" t="str">
        <f>IFERROR(IF(OR($K21/AR21&gt;O$4,$K21/AR21&lt;O$3),"nmf ",$K21/AR21),"n/a ")</f>
        <v xml:space="preserve">n/a </v>
      </c>
      <c r="P21" s="16" t="str">
        <f>IFERROR(IF(OR($K21/AT21&gt;P$4,$K21/AT21&lt;P$3),"nmf ",$K21/AT21),"n/a ")</f>
        <v xml:space="preserve">n/a </v>
      </c>
      <c r="Q21" s="16" t="str">
        <f>IFERROR(IF(OR($K21/AU21&gt;Q$4,$K21/AU21&lt;Q$3),"nmf ",$K21/AU21),"n/a ")</f>
        <v xml:space="preserve">n/a </v>
      </c>
      <c r="R21" s="16" t="str">
        <f>IFERROR(IF(OR($K21/AV21&gt;R$4,$K21/AV21&lt;R$3),"nmf ",$K21/AV21),"n/a ")</f>
        <v xml:space="preserve">n/a </v>
      </c>
      <c r="S21" s="16" t="str">
        <f>IFERROR(IF(OR($K21/AW21&gt;S$4,$K21/AW21&lt;S$3),"nmf ",$K21/AW21),"n/a ")</f>
        <v xml:space="preserve">n/a </v>
      </c>
      <c r="T21" s="34" t="str">
        <f t="shared" si="9"/>
        <v xml:space="preserve">n/a </v>
      </c>
      <c r="U21" s="34" t="str">
        <f t="shared" si="9"/>
        <v xml:space="preserve">n/a </v>
      </c>
      <c r="V21" s="16" t="str">
        <f>IFERROR(IF(OR($H21/AY21&gt;#REF!,$H21/AY21&lt;#REF!),"nmf ",$H21/AY21),"n/a ")</f>
        <v xml:space="preserve">n/a </v>
      </c>
      <c r="W21" s="16" t="str">
        <f>IFERROR(IF(OR($H21/AZ21&gt;#REF!,$H21/AZ21&lt;#REF!),"nmf ",$H21/AZ21),"n/a ")</f>
        <v xml:space="preserve">n/a </v>
      </c>
      <c r="X21" s="16" t="str">
        <f>IFERROR(IF(OR($H21/BA21&gt;#REF!,$H21/BA21&lt;#REF!),"nmf ",$H21/BA21),"n/a ")</f>
        <v xml:space="preserve">n/a </v>
      </c>
      <c r="Y21" s="16" t="str">
        <f>IFERROR(IF(OR($H21/BC21&gt;#REF!,$H21/BC21&lt;#REF!),"nmf ",$H21/BC21),"n/a ")</f>
        <v xml:space="preserve">n/a </v>
      </c>
      <c r="Z21" s="16" t="str">
        <f>IFERROR(IF(OR($H21/BD21&gt;#REF!,$H21/BD21&lt;#REF!),"nmf ",$H21/BD21),"n/a ")</f>
        <v xml:space="preserve">n/a </v>
      </c>
      <c r="AA21" s="16" t="str">
        <f>IFERROR(IF(OR($H21/BE21&gt;#REF!,$H21/BE21&lt;#REF!),"nmf ",$H21/BE21),"n/a ")</f>
        <v xml:space="preserve">n/a </v>
      </c>
      <c r="AB21" s="34" t="str">
        <f t="shared" si="10"/>
        <v xml:space="preserve">n/a </v>
      </c>
      <c r="AC21" s="34" t="str">
        <f t="shared" si="11"/>
        <v xml:space="preserve">n/a </v>
      </c>
      <c r="AD21" s="34" t="str">
        <f t="shared" si="12"/>
        <v xml:space="preserve">n/a </v>
      </c>
      <c r="AE21" s="34" t="str">
        <f t="shared" si="13"/>
        <v xml:space="preserve">n/a </v>
      </c>
      <c r="AF21" s="34" t="str">
        <f t="shared" si="14"/>
        <v xml:space="preserve">n/a </v>
      </c>
      <c r="AG21" s="34" t="str">
        <f>IFERROR((BM21/AW21)-1,"n/a ")</f>
        <v xml:space="preserve">n/a </v>
      </c>
      <c r="AH21" s="34" t="str">
        <f t="shared" si="15"/>
        <v xml:space="preserve">n/a </v>
      </c>
      <c r="AI21" s="34" t="str">
        <f t="shared" si="16"/>
        <v xml:space="preserve">n/a </v>
      </c>
      <c r="AJ21" s="34" t="str">
        <f t="shared" si="17"/>
        <v xml:space="preserve">n/a </v>
      </c>
      <c r="AK21" s="34" t="str">
        <f t="shared" si="18"/>
        <v xml:space="preserve">n/a </v>
      </c>
      <c r="AL21" s="34" t="str">
        <f t="shared" si="19"/>
        <v xml:space="preserve">n/a </v>
      </c>
      <c r="AM21" s="73"/>
      <c r="AO21" s="20" t="str" cm="1">
        <f t="array" ref="AO21">IF($B21="","",_xll.SNL.Clients.Office.Excel.Functions.SPG($B21,"IQ_REV",AO$7,$F$2,"Options:Curr="&amp;$F$3&amp;", Mag=Millions, NA=--"))</f>
        <v/>
      </c>
      <c r="AP21" s="20" t="str" cm="1">
        <f t="array" ref="AP21">IF($B21="","",_xll.SNL.Clients.Office.Excel.Functions.SPG($B21,"SP_REV_EST",AP$7,$F$2,"Options:Curr="&amp;$F$3&amp;", Mag=Millions, NA=--"))</f>
        <v/>
      </c>
      <c r="AQ21" s="20" t="str" cm="1">
        <f t="array" ref="AQ21">IF($B21="","",_xll.SNL.Clients.Office.Excel.Functions.SPG($B21,"SP_REV_EST",AQ$7,$F$2,"Options:Curr="&amp;$F$3&amp;", Mag=Millions, NA=--"))</f>
        <v/>
      </c>
      <c r="AR21" s="20" t="str" cm="1">
        <f t="array" ref="AR21">IF($B21="","",_xll.SNL.Clients.Office.Excel.Functions.SPG($B21,"SP_REV_EST",AR$7,$F$2,"Options:Curr="&amp;$F$3&amp;", Mag=Millions, NA=--"))</f>
        <v/>
      </c>
      <c r="AT21" s="20" t="str" cm="1">
        <f t="array" ref="AT21">IF($B21="","",_xll.SNL.Clients.Office.Excel.Functions.SPG($B21,"SP_EBITDA",AT$7,$F$2,"Options:Curr="&amp;$F$3&amp;", Mag=Millions, NA=--"))</f>
        <v/>
      </c>
      <c r="AU21" s="20" t="str" cm="1">
        <f t="array" ref="AU21">IF($B21="","",_xll.SNL.Clients.Office.Excel.Functions.SPG($B21,"SP_EBITDA_EST",AU$7,$F$2,"Options:Curr="&amp;$F$3&amp;", Mag=Millions, NA=--"))</f>
        <v/>
      </c>
      <c r="AV21" s="20" t="str" cm="1">
        <f t="array" ref="AV21">IF($B21="","",_xll.SNL.Clients.Office.Excel.Functions.SPG($B21,"SP_EBITDA_EST",AV$7,$F$2,"Options:Curr="&amp;$F$3&amp;", Mag=Millions, NA=--"))</f>
        <v/>
      </c>
      <c r="AW21" s="20" t="str" cm="1">
        <f t="array" ref="AW21">IF($B21="","",_xll.SNL.Clients.Office.Excel.Functions.SPG($B21,"SP_EBITDA_EST",AW$7,$F$2,"Options:Curr="&amp;$F$3&amp;", Mag=Millions, NA=--"))</f>
        <v/>
      </c>
      <c r="AY21" s="13" t="str" cm="1">
        <f t="array" ref="AY21">IF($B21="","",_xll.SNL.Clients.Office.Excel.Functions.SPG($B21,"SP_EPS_EST",AY$7,$F$2,"Options:Curr="&amp;$F$3&amp;", NA=--"))</f>
        <v/>
      </c>
      <c r="AZ21" s="13" t="str" cm="1">
        <f t="array" ref="AZ21">IF($B21="","",_xll.SNL.Clients.Office.Excel.Functions.SPG($B21,"SP_EPS_EST",AZ$7,$F$2,"Options:Curr="&amp;$F$3&amp;", NA=--"))</f>
        <v/>
      </c>
      <c r="BA21" s="13" t="str" cm="1">
        <f t="array" ref="BA21">IF($B21="","",_xll.SNL.Clients.Office.Excel.Functions.SPG($B21,"SP_EPS_EST",BA$7,$F$2,"Options:Curr="&amp;$F$3&amp;", NA=--"))</f>
        <v/>
      </c>
      <c r="BC21" s="13" t="str" cm="1">
        <f t="array" ref="BC21">IF($B21="","",_xll.SNL.Clients.Office.Excel.Functions.SPG($B21,"SP_CFPS_EST",BC$7,$F$2,"Options:Curr="&amp;$F$3&amp;", NA=--"))</f>
        <v/>
      </c>
      <c r="BD21" s="13" t="str" cm="1">
        <f t="array" ref="BD21">IF($B21="","",_xll.SNL.Clients.Office.Excel.Functions.SPG($B21,"SP_CFPS_EST",BD$7,$F$2,"Options:Curr="&amp;$F$3&amp;", NA=--"))</f>
        <v/>
      </c>
      <c r="BE21" s="13" t="str" cm="1">
        <f t="array" ref="BE21">IF($B21="","",_xll.SNL.Clients.Office.Excel.Functions.SPG($B21,"SP_CFPS_EST",BE$7,$F$2,"Options:Curr="&amp;$F$3&amp;", NA=--"))</f>
        <v/>
      </c>
      <c r="BG21" s="67" t="str" cm="1">
        <f t="array" ref="BG21">IF($B21="","",_xll.SNL.Clients.Office.Excel.Functions.SPG($B21,"SP_DIV_YIELD",WORKDAY($F$2+1,-1),"Options: NA=--"))</f>
        <v/>
      </c>
      <c r="BH21" s="19" t="str" cm="1">
        <f t="array" ref="BH21">IF($B21="","",_xll.SNL.Clients.Office.Excel.Functions.SPG($B21,"IQ_TOTAL_EQUITY","FQ0",$F$2,"Options:Curr="&amp;$F$3&amp;", Mag=Millions, NA=--"))</f>
        <v/>
      </c>
      <c r="BI21" s="19" t="str" cm="1">
        <f t="array" ref="BI21">IF($B21="","",_xll.SNL.Clients.Office.Excel.Functions.SPG($B21,"IQ_TOTAL_DEBT","FQ0",$F$2,"Options:Curr="&amp;$F$3&amp;", Mag=Millions, NA=--"))</f>
        <v/>
      </c>
      <c r="BJ21" s="19" t="str" cm="1">
        <f t="array" ref="BJ21">IF($B21="","",_xll.SNL.Clients.Office.Excel.Functions.SPG($B21,"IQ_CASH_ST_INVEST","FQ0",$F$2,"Options:Curr="&amp;$F$3&amp;", Mag=Millions, NA=--"))</f>
        <v/>
      </c>
      <c r="BK21" s="38" t="e">
        <f>+BI21-BJ21</f>
        <v>#VALUE!</v>
      </c>
      <c r="BL21" s="19" t="str" cm="1">
        <f t="array" ref="BL21">IF($B21="","",_xll.SNL.Clients.Office.Excel.Functions.SPG($B21,"IQ_TOTAL_EQUITY","FQ0",$F$2,"Options:Curr="&amp;$F$3&amp;", Mag=Millions, NA=--"))</f>
        <v/>
      </c>
      <c r="BN21" s="20" t="str">
        <f>IFERROR($AP21*$BR21,"n/a")</f>
        <v>n/a</v>
      </c>
      <c r="BO21" s="20" t="str">
        <f t="shared" si="21"/>
        <v>n/a</v>
      </c>
      <c r="BP21" s="20" t="str">
        <f>IFERROR($AR21*$BT21,"n/a")</f>
        <v>n/a</v>
      </c>
      <c r="BR21" s="45" t="str">
        <f>IF($B21="","",IFERROR(_xll.SNL.Clients.Office.Excel.Functions.SPG($B21,"SP_GROSS_MARGIN_EST",BR$7,$F$2,"Options: NA=--")/100,"--"))</f>
        <v/>
      </c>
      <c r="BS21" s="45" t="str">
        <f>IF($B21="","",IFERROR(_xll.SNL.Clients.Office.Excel.Functions.SPG($B21,"SP_GROSS_MARGIN_EST",BS$7,$F$2,"Options: NA=--")/100,"--"))</f>
        <v/>
      </c>
      <c r="BT21" s="45" t="str">
        <f>IF($B21="","",IFERROR(_xll.SNL.Clients.Office.Excel.Functions.SPG($B21,"SP_GROSS_MARGIN_EST",BT$7,$F$2,"Options: NA=--")/100,"--"))</f>
        <v/>
      </c>
      <c r="BU21" s="46"/>
      <c r="BV21" s="48" t="str" cm="1">
        <f t="array" ref="BV21">IF($B21="","",_xll.SNL.Clients.Office.Excel.Functions.SPG($B21,"SP_GROSS_MARGIN_NUM_EST",BV$7,$F$2,"Options: NA=--"))</f>
        <v/>
      </c>
      <c r="BW21" s="48" t="str" cm="1">
        <f t="array" ref="BW21">IF($B21="","",_xll.SNL.Clients.Office.Excel.Functions.SPG($B21,"SP_GROSS_MARGIN_NUM_EST",BW$7,$F$2,"Options: NA=--"))</f>
        <v/>
      </c>
      <c r="BX21" s="48" t="str" cm="1">
        <f t="array" ref="BX21">IF($B21="","",_xll.SNL.Clients.Office.Excel.Functions.SPG($B21,"SP_GROSS_MARGIN_NUM_EST",BX$7,$F$2,"Options: NA=--"))</f>
        <v/>
      </c>
      <c r="BZ21" s="63" t="str">
        <f>IFERROR(IF(CD21/AP21&lt;0,"nmf ",CD21/AP21),"n/a ")</f>
        <v xml:space="preserve">n/a </v>
      </c>
      <c r="CA21" s="63" t="str">
        <f>IFERROR(IF(CE21/AQ21&lt;0,"nmf ",CE21/AQ21),"n/a ")</f>
        <v xml:space="preserve">n/a </v>
      </c>
      <c r="CB21" s="63" t="str">
        <f>IFERROR(IF(CF21/AR21&lt;0,"nmf ",CF21/AR21),"n/a ")</f>
        <v xml:space="preserve">n/a </v>
      </c>
      <c r="CD21" s="20" t="str">
        <f>IFERROR(BR21*AP21,"--")</f>
        <v>--</v>
      </c>
      <c r="CE21" s="20" t="str">
        <f>IFERROR(BS21*AQ21,"--")</f>
        <v>--</v>
      </c>
      <c r="CF21" s="20" t="str">
        <f>IFERROR(BT21*AR21,"--")</f>
        <v>--</v>
      </c>
    </row>
    <row r="22" spans="2:84" s="10" customFormat="1" ht="3" customHeight="1" x14ac:dyDescent="0.25">
      <c r="B22" s="11"/>
      <c r="G22" s="14"/>
      <c r="H22" s="14"/>
      <c r="I22" s="41"/>
      <c r="J22" s="22"/>
      <c r="K22" s="23"/>
      <c r="L22" s="23"/>
      <c r="M22" s="16"/>
      <c r="N22" s="16"/>
      <c r="O22" s="16"/>
      <c r="P22" s="16"/>
      <c r="Q22" s="16"/>
      <c r="R22" s="16"/>
      <c r="S22" s="16"/>
      <c r="T22" s="17"/>
      <c r="U22" s="17"/>
      <c r="V22" s="16"/>
      <c r="W22" s="16"/>
      <c r="X22" s="16"/>
      <c r="Y22" s="16"/>
      <c r="Z22" s="16"/>
      <c r="AA22" s="16"/>
      <c r="AB22" s="17"/>
      <c r="AC22" s="17"/>
      <c r="AD22" s="17"/>
      <c r="AE22" s="17"/>
      <c r="AF22" s="17"/>
      <c r="AG22" s="17"/>
      <c r="AH22" s="17"/>
      <c r="AI22" s="17"/>
      <c r="AJ22" s="17"/>
      <c r="AK22" s="17"/>
      <c r="AL22" s="17"/>
      <c r="AM22" s="17"/>
      <c r="AO22" s="19"/>
      <c r="AP22" s="13"/>
      <c r="AQ22" s="13"/>
      <c r="AR22" s="13"/>
      <c r="AU22" s="20"/>
      <c r="AV22" s="20"/>
      <c r="AW22" s="20"/>
      <c r="AY22" s="13"/>
      <c r="AZ22" s="13"/>
      <c r="BA22" s="13"/>
      <c r="BG22" s="19"/>
      <c r="BH22" s="19"/>
      <c r="BI22" s="19"/>
      <c r="BJ22" s="19"/>
      <c r="BK22" s="19"/>
      <c r="BL22" s="19"/>
      <c r="BR22" s="46"/>
      <c r="BS22" s="46"/>
      <c r="BT22" s="46"/>
      <c r="BU22" s="46"/>
      <c r="BV22" s="49"/>
      <c r="BW22" s="49"/>
      <c r="BX22" s="49"/>
      <c r="BZ22" s="46"/>
      <c r="CA22" s="46"/>
      <c r="CB22" s="46"/>
    </row>
    <row r="23" spans="2:84" s="10" customFormat="1" ht="16.350000000000001" customHeight="1" x14ac:dyDescent="0.25">
      <c r="B23" s="9"/>
      <c r="D23" s="24" t="s">
        <v>23</v>
      </c>
      <c r="E23" s="24"/>
      <c r="F23" s="24"/>
      <c r="G23" s="24"/>
      <c r="H23" s="24"/>
      <c r="I23" s="24"/>
      <c r="J23" s="25"/>
      <c r="K23" s="25"/>
      <c r="L23" s="36" t="str">
        <f>IFERROR(AVERAGE(L18:L21),"n/a ")</f>
        <v xml:space="preserve">n/a </v>
      </c>
      <c r="M23" s="36" t="str">
        <f>IFERROR(AVERAGE(M18:M21),"n/a ")</f>
        <v xml:space="preserve">n/a </v>
      </c>
      <c r="N23" s="26" t="str">
        <f>IFERROR(AVERAGE(N18:N21),"n/a ")</f>
        <v xml:space="preserve">n/a </v>
      </c>
      <c r="O23" s="26" t="str">
        <f>IFERROR(AVERAGE(O18:O21),"n/a ")</f>
        <v xml:space="preserve">n/a </v>
      </c>
      <c r="P23" s="26" t="str">
        <f t="shared" ref="P23" si="22">IFERROR(AVERAGE(P18:P21),"n/a ")</f>
        <v xml:space="preserve">n/a </v>
      </c>
      <c r="Q23" s="26" t="str">
        <f>IFERROR(AVERAGE(Q18:Q21),"n/a ")</f>
        <v xml:space="preserve">n/a </v>
      </c>
      <c r="R23" s="26" t="str">
        <f>IFERROR(AVERAGE(R18:R21),"n/a ")</f>
        <v xml:space="preserve">n/a </v>
      </c>
      <c r="S23" s="26" t="str">
        <f>IFERROR(AVERAGE(S18:S21),"n/a ")</f>
        <v xml:space="preserve">n/a </v>
      </c>
      <c r="T23" s="37" t="str">
        <f>IFERROR(AVERAGE(T18:T21),"n/a ")</f>
        <v xml:space="preserve">n/a </v>
      </c>
      <c r="U23" s="37" t="str">
        <f>IFERROR(AVERAGE(U18:U21),"n/a ")</f>
        <v xml:space="preserve">n/a </v>
      </c>
      <c r="V23" s="26" t="str">
        <f>IFERROR(AVERAGE(V18:V21),"n/a ")</f>
        <v xml:space="preserve">n/a </v>
      </c>
      <c r="W23" s="26" t="str">
        <f>IFERROR(AVERAGE(W18:W21),"n/a ")</f>
        <v xml:space="preserve">n/a </v>
      </c>
      <c r="X23" s="26" t="str">
        <f>IFERROR(AVERAGE(X18:X21),"n/a ")</f>
        <v xml:space="preserve">n/a </v>
      </c>
      <c r="Y23" s="26" t="str">
        <f>IFERROR(AVERAGE(Y18:Y21),"n/a ")</f>
        <v xml:space="preserve">n/a </v>
      </c>
      <c r="Z23" s="26" t="str">
        <f>IFERROR(AVERAGE(Z18:Z21),"n/a ")</f>
        <v xml:space="preserve">n/a </v>
      </c>
      <c r="AA23" s="26" t="str">
        <f>IFERROR(AVERAGE(AA18:AA21),"n/a ")</f>
        <v xml:space="preserve">n/a </v>
      </c>
      <c r="AB23" s="37" t="str">
        <f>IFERROR(AVERAGE(AB18:AB21),"n/a ")</f>
        <v xml:space="preserve">n/a </v>
      </c>
      <c r="AC23" s="37" t="str">
        <f>IFERROR(AVERAGE(AC18:AC21),"n/a ")</f>
        <v xml:space="preserve">n/a </v>
      </c>
      <c r="AD23" s="37" t="str">
        <f>IFERROR(AVERAGE(AD18:AD21),"n/a ")</f>
        <v xml:space="preserve">n/a </v>
      </c>
      <c r="AE23" s="37" t="str">
        <f>IFERROR(AVERAGE(AE18:AE21),"n/a ")</f>
        <v xml:space="preserve">n/a </v>
      </c>
      <c r="AF23" s="37" t="str">
        <f>IFERROR(AVERAGE(AF18:AF21),"n/a ")</f>
        <v xml:space="preserve">n/a </v>
      </c>
      <c r="AG23" s="37" t="str">
        <f>IFERROR(AVERAGE(AG18:AG21),"n/a ")</f>
        <v xml:space="preserve">n/a </v>
      </c>
      <c r="AH23" s="37" t="str">
        <f>IFERROR(AVERAGE(AH18:AH21),"n/a ")</f>
        <v xml:space="preserve">n/a </v>
      </c>
      <c r="AI23" s="37" t="str">
        <f>IFERROR(AVERAGE(AI18:AI21),"n/a ")</f>
        <v xml:space="preserve">n/a </v>
      </c>
      <c r="AJ23" s="37" t="str">
        <f>IFERROR(AVERAGE(AJ18:AJ21),"n/a ")</f>
        <v xml:space="preserve">n/a </v>
      </c>
      <c r="AK23" s="37" t="str">
        <f>IFERROR(AVERAGE(AK18:AK21),"n/a ")</f>
        <v xml:space="preserve">n/a </v>
      </c>
      <c r="AL23" s="37" t="str">
        <f>IFERROR(AVERAGE(AL18:AL21),"n/a ")</f>
        <v xml:space="preserve">n/a </v>
      </c>
      <c r="AM23" s="37"/>
      <c r="BR23" s="46"/>
      <c r="BS23" s="46"/>
      <c r="BT23" s="46"/>
      <c r="BU23" s="46"/>
      <c r="BV23" s="49"/>
      <c r="BW23" s="49"/>
      <c r="BX23" s="49"/>
      <c r="BZ23" s="46"/>
      <c r="CA23" s="46"/>
      <c r="CB23" s="46"/>
    </row>
    <row r="24" spans="2:84" s="10" customFormat="1" ht="3" customHeight="1" x14ac:dyDescent="0.25">
      <c r="B24" s="9"/>
      <c r="D24" s="54"/>
      <c r="E24" s="54"/>
      <c r="F24" s="54"/>
      <c r="G24" s="54"/>
      <c r="H24" s="54"/>
      <c r="I24" s="54"/>
      <c r="J24" s="55"/>
      <c r="K24" s="55"/>
      <c r="L24" s="54"/>
      <c r="M24" s="54"/>
      <c r="N24" s="54"/>
      <c r="O24" s="54"/>
      <c r="P24" s="54"/>
      <c r="Q24" s="54"/>
      <c r="R24" s="54"/>
      <c r="S24" s="54"/>
      <c r="T24" s="54"/>
      <c r="U24" s="54"/>
      <c r="V24" s="54"/>
      <c r="W24" s="54"/>
      <c r="X24" s="54"/>
      <c r="Y24" s="54"/>
      <c r="Z24" s="54"/>
      <c r="AA24" s="54"/>
      <c r="AB24" s="54"/>
      <c r="AC24" s="54"/>
      <c r="AD24" s="54"/>
      <c r="AE24" s="54"/>
      <c r="AF24" s="54"/>
      <c r="AG24" s="54"/>
      <c r="AH24" s="54"/>
      <c r="AI24" s="54"/>
      <c r="AJ24" s="54"/>
      <c r="AK24" s="54"/>
      <c r="AL24" s="54"/>
      <c r="AM24" s="54"/>
      <c r="BR24" s="46"/>
      <c r="BS24" s="46"/>
      <c r="BT24" s="46"/>
      <c r="BU24" s="46"/>
      <c r="BV24" s="49"/>
      <c r="BW24" s="49"/>
      <c r="BX24" s="49"/>
      <c r="BZ24" s="46"/>
      <c r="CA24" s="46"/>
      <c r="CB24" s="46"/>
    </row>
    <row r="25" spans="2:84" s="31" customFormat="1" ht="16.350000000000001" customHeight="1" x14ac:dyDescent="0.25">
      <c r="B25" s="30"/>
      <c r="D25" s="56" t="s">
        <v>24</v>
      </c>
      <c r="E25" s="56"/>
      <c r="F25" s="56"/>
      <c r="G25" s="56"/>
      <c r="H25" s="56"/>
      <c r="I25" s="56"/>
      <c r="J25" s="56"/>
      <c r="K25" s="56"/>
      <c r="L25" s="57" t="str">
        <f>IFERROR(AVERAGE(L10:L13,L18:L21),"n/a ")</f>
        <v xml:space="preserve">n/a </v>
      </c>
      <c r="M25" s="57" t="str">
        <f>IFERROR(AVERAGE(M10:M13,M18:M21),"n/a ")</f>
        <v xml:space="preserve">n/a </v>
      </c>
      <c r="N25" s="57" t="str">
        <f>IFERROR(AVERAGE(N10:N13,N18:N21),"n/a ")</f>
        <v xml:space="preserve">n/a </v>
      </c>
      <c r="O25" s="57" t="str">
        <f>IFERROR(AVERAGE(O10:O13,O18:O21),"n/a ")</f>
        <v xml:space="preserve">n/a </v>
      </c>
      <c r="P25" s="57" t="str">
        <f>IFERROR(AVERAGE(P10:P13,P18:P21),"n/a ")</f>
        <v xml:space="preserve">n/a </v>
      </c>
      <c r="Q25" s="57" t="str">
        <f>IFERROR(AVERAGE(Q10:Q13,Q18:Q21),"n/a ")</f>
        <v xml:space="preserve">n/a </v>
      </c>
      <c r="R25" s="57" t="str">
        <f>IFERROR(AVERAGE(R10:R13,R18:R21),"n/a ")</f>
        <v xml:space="preserve">n/a </v>
      </c>
      <c r="S25" s="57" t="str">
        <f>IFERROR(AVERAGE(S10:S13,S18:S21),"n/a ")</f>
        <v xml:space="preserve">n/a </v>
      </c>
      <c r="T25" s="76" t="str">
        <f>IFERROR(AVERAGE(T10:T13,T18:T21),"n/a ")</f>
        <v xml:space="preserve">n/a </v>
      </c>
      <c r="U25" s="76" t="str">
        <f>IFERROR(AVERAGE(U10:U13,U18:U21),"n/a ")</f>
        <v xml:space="preserve">n/a </v>
      </c>
      <c r="V25" s="57" t="e">
        <f>AVERAGE(V10:V13,V18:V21)</f>
        <v>#DIV/0!</v>
      </c>
      <c r="W25" s="57" t="e">
        <f>AVERAGE(W10:W13,W18:W21)</f>
        <v>#DIV/0!</v>
      </c>
      <c r="X25" s="57" t="e">
        <f>AVERAGE(X10:X13,X18:X21)</f>
        <v>#DIV/0!</v>
      </c>
      <c r="Y25" s="57" t="e">
        <f>AVERAGE(Y10:Y13,Y18:Y21)</f>
        <v>#DIV/0!</v>
      </c>
      <c r="Z25" s="57" t="e">
        <f>AVERAGE(Z10:Z13,Z18:Z21)</f>
        <v>#DIV/0!</v>
      </c>
      <c r="AA25" s="57" t="e">
        <f>AVERAGE(AA10:AA13,AA18:AA21)</f>
        <v>#DIV/0!</v>
      </c>
      <c r="AB25" s="58" t="e">
        <f>AVERAGE(AB10:AB13,AB18:AB21)</f>
        <v>#DIV/0!</v>
      </c>
      <c r="AC25" s="58" t="e">
        <f>AVERAGE(AC10:AC13,AC18:AC21)</f>
        <v>#DIV/0!</v>
      </c>
      <c r="AD25" s="58" t="e">
        <f>AVERAGE(AD10:AD13,AD18:AD21)</f>
        <v>#DIV/0!</v>
      </c>
      <c r="AE25" s="58" t="e">
        <f>AVERAGE(AE10:AE13,AE18:AE21)</f>
        <v>#DIV/0!</v>
      </c>
      <c r="AF25" s="58" t="e">
        <f>AVERAGE(AF10:AF13,AF18:AF21)</f>
        <v>#DIV/0!</v>
      </c>
      <c r="AG25" s="58" t="e">
        <f>AVERAGE(AG10:AG13,AG18:AG21)</f>
        <v>#DIV/0!</v>
      </c>
      <c r="AH25" s="58" t="e">
        <f>AVERAGE(AH10:AH13,AH18:AH21)</f>
        <v>#DIV/0!</v>
      </c>
      <c r="AI25" s="58" t="e">
        <f>AVERAGE(AI10:AI13,AI18:AI21)</f>
        <v>#DIV/0!</v>
      </c>
      <c r="AJ25" s="58" t="e">
        <f>AVERAGE(AJ10:AJ13,AJ18:AJ21)</f>
        <v>#DIV/0!</v>
      </c>
      <c r="AK25" s="58" t="e">
        <f>AVERAGE(AK10:AK13,AK18:AK21)</f>
        <v>#DIV/0!</v>
      </c>
      <c r="AL25" s="58" t="e">
        <f>AVERAGE(AL10:AL13,AL18:AL21)</f>
        <v>#DIV/0!</v>
      </c>
      <c r="AM25" s="58"/>
      <c r="BR25" s="47"/>
      <c r="BS25" s="47"/>
      <c r="BT25" s="47"/>
      <c r="BU25" s="47"/>
      <c r="BV25" s="50"/>
      <c r="BW25" s="50"/>
      <c r="BX25" s="50"/>
      <c r="BZ25" s="47"/>
      <c r="CA25" s="47"/>
      <c r="CB25" s="47"/>
    </row>
    <row r="26" spans="2:84" s="31" customFormat="1" ht="18" hidden="1" customHeight="1" outlineLevel="1" x14ac:dyDescent="0.25">
      <c r="B26" s="30"/>
      <c r="D26" s="51" t="s">
        <v>42</v>
      </c>
      <c r="E26" s="51"/>
      <c r="F26" s="51"/>
      <c r="G26" s="51"/>
      <c r="H26" s="51"/>
      <c r="I26" s="51"/>
      <c r="J26" s="51"/>
      <c r="K26" s="51"/>
      <c r="L26" s="52">
        <f>+IFERROR((SUM(L18:L21,L10:L13)-MAX(L10:L13,L18:L21)-MIN(L10:L13,L18:L21))/(COUNT(L18:L21,L10:L13)-2),"n/a ")</f>
        <v>0</v>
      </c>
      <c r="M26" s="52">
        <f>+IFERROR((SUM(M18:M21,M10:M13)-MAX(M10:M13,M18:M21)-MIN(M10:M13,M18:M21))/(COUNT(M18:M21,M10:M13)-2),"n/a ")</f>
        <v>0</v>
      </c>
      <c r="N26" s="52">
        <f>+IFERROR((SUM(N18:N21,N10:N13)-MAX(N10:N13,N18:N21)-MIN(N10:N13,N18:N21))/(COUNT(N18:N21,N10:N13)-2),"n/a ")</f>
        <v>0</v>
      </c>
      <c r="O26" s="52">
        <f>+IFERROR((SUM(O18:O21,O10:O13)-MAX(O10:O13,O18:O21)-MIN(O10:O13,O18:O21))/(COUNT(O18:O21,O10:O13)-2),"n/a ")</f>
        <v>0</v>
      </c>
      <c r="P26" s="52">
        <f>+IFERROR((SUM(P18:P21,P10:P13)-MAX(P10:P13,P18:P21)-MIN(P10:P13,P18:P21))/(COUNT(P18:P21,P10:P13)-2),"n/a ")</f>
        <v>0</v>
      </c>
      <c r="Q26" s="52">
        <f>+IFERROR((SUM(Q18:Q21,Q10:Q13)-MAX(Q10:Q13,Q18:Q21)-MIN(Q10:Q13,Q18:Q21))/(COUNT(Q18:Q21,Q10:Q13)-2),"n/a ")</f>
        <v>0</v>
      </c>
      <c r="R26" s="52">
        <f>+IFERROR((SUM(R18:R21,R10:R13)-MAX(R10:R13,R18:R21)-MIN(R10:R13,R18:R21))/(COUNT(R18:R21,R10:R13)-2),"n/a ")</f>
        <v>0</v>
      </c>
      <c r="S26" s="52">
        <f>+IFERROR((SUM(S18:S21,S10:S13)-MAX(S10:S13,S18:S21)-MIN(S10:S13,S18:S21))/(COUNT(S18:S21,S10:S13)-2),"n/a ")</f>
        <v>0</v>
      </c>
      <c r="T26" s="77">
        <f>+IFERROR((SUM(T18:T21,T10:T13)-MAX(T10:T13,T18:T21)-MIN(T10:T13,T18:T21))/(COUNT(T18:T21,T10:T13)-2),"n/a ")</f>
        <v>0</v>
      </c>
      <c r="U26" s="77">
        <f>+IFERROR((SUM(U18:U21,U10:U13)-MAX(U10:U13,U18:U21)-MIN(U10:U13,U18:U21))/(COUNT(U18:U21,U10:U13)-2),"n/a ")</f>
        <v>0</v>
      </c>
      <c r="V26" s="52">
        <f>+IFERROR((SUM(V18:V21,V10:V13)-MAX(V10:V13,V18:V21)-MIN(V10:V13,V18:V21))/(COUNT(V18:V21,V10:V13)-2),"n/a ")</f>
        <v>0</v>
      </c>
      <c r="W26" s="52">
        <f>+IFERROR((SUM(W18:W21,W10:W13)-MAX(W10:W13,W18:W21)-MIN(W10:W13,W18:W21))/(COUNT(W18:W21,W10:W13)-2),"n/a ")</f>
        <v>0</v>
      </c>
      <c r="X26" s="52">
        <f>+IFERROR((SUM(X18:X21,X10:X13)-MAX(X10:X13,X18:X21)-MIN(X10:X13,X18:X21))/(COUNT(X18:X21,X10:X13)-2),"n/a ")</f>
        <v>0</v>
      </c>
      <c r="Y26" s="52">
        <f>+IFERROR((SUM(Y18:Y21,Y10:Y13)-MAX(Y10:Y13,Y18:Y21)-MIN(Y10:Y13,Y18:Y21))/(COUNT(Y18:Y21,Y10:Y13)-2),"n/a ")</f>
        <v>0</v>
      </c>
      <c r="Z26" s="52">
        <f>+IFERROR((SUM(Z18:Z21,Z10:Z13)-MAX(Z10:Z13,Z18:Z21)-MIN(Z10:Z13,Z18:Z21))/(COUNT(Z18:Z21,Z10:Z13)-2),"n/a ")</f>
        <v>0</v>
      </c>
      <c r="AA26" s="52">
        <f>+IFERROR((SUM(AA18:AA21,AA10:AA13)-MAX(AA10:AA13,AA18:AA21)-MIN(AA10:AA13,AA18:AA21))/(COUNT(AA18:AA21,AA10:AA13)-2),"n/a ")</f>
        <v>0</v>
      </c>
      <c r="AB26" s="53">
        <f>+IFERROR((SUM(AB18:AB21,AB10:AB13)-MAX(AB10:AB13,AB18:AB21)-MIN(AB10:AB13,AB18:AB21))/(COUNT(AB18:AB21,AB10:AB13)-2),"n/a ")</f>
        <v>0</v>
      </c>
      <c r="AC26" s="53">
        <f>+IFERROR((SUM(AC18:AC21,AC10:AC13)-MAX(AC10:AC13,AC18:AC21)-MIN(AC10:AC13,AC18:AC21))/(COUNT(AC18:AC21,AC10:AC13)-2),"n/a ")</f>
        <v>0</v>
      </c>
      <c r="AD26" s="53">
        <f>+IFERROR((SUM(AD18:AD21,AD10:AD13)-MAX(AD10:AD13,AD18:AD21)-MIN(AD10:AD13,AD18:AD21))/(COUNT(AD18:AD21,AD10:AD13)-2),"n/a ")</f>
        <v>0</v>
      </c>
      <c r="AE26" s="53">
        <f>+IFERROR((SUM(AE18:AE21,AE10:AE13)-MAX(AE10:AE13,AE18:AE21)-MIN(AE10:AE13,AE18:AE21))/(COUNT(AE18:AE21,AE10:AE13)-2),"n/a ")</f>
        <v>0</v>
      </c>
      <c r="AF26" s="53">
        <f>+IFERROR((SUM(AF18:AF21,AF10:AF13)-MAX(AF10:AF13,AF18:AF21)-MIN(AF10:AF13,AF18:AF21))/(COUNT(AF18:AF21,AF10:AF13)-2),"n/a ")</f>
        <v>0</v>
      </c>
      <c r="AG26" s="53">
        <f>+IFERROR((SUM(AG18:AG21,AG10:AG13)-MAX(AG10:AG13,AG18:AG21)-MIN(AG10:AG13,AG18:AG21))/(COUNT(AG18:AG21,AG10:AG13)-2),"n/a ")</f>
        <v>0</v>
      </c>
      <c r="AH26" s="53">
        <f>+IFERROR((SUM(AH18:AH21,AH10:AH13)-MAX(AH10:AH13,AH18:AH21)-MIN(AH10:AH13,AH18:AH21))/(COUNT(AH18:AH21,AH10:AH13)-2),"n/a ")</f>
        <v>0</v>
      </c>
      <c r="AI26" s="53">
        <f>+IFERROR((SUM(AI18:AI21,AI10:AI13)-MAX(AI10:AI13,AI18:AI21)-MIN(AI10:AI13,AI18:AI21))/(COUNT(AI18:AI21,AI10:AI13)-2),"n/a ")</f>
        <v>0</v>
      </c>
      <c r="AJ26" s="53">
        <f>+IFERROR((SUM(AJ18:AJ21,AJ10:AJ13)-MAX(AJ10:AJ13,AJ18:AJ21)-MIN(AJ10:AJ13,AJ18:AJ21))/(COUNT(AJ18:AJ21,AJ10:AJ13)-2),"n/a ")</f>
        <v>0</v>
      </c>
      <c r="AK26" s="53">
        <f>+IFERROR((SUM(AK18:AK21,AK10:AK13)-MAX(AK10:AK13,AK18:AK21)-MIN(AK10:AK13,AK18:AK21))/(COUNT(AK18:AK21,AK10:AK13)-2),"n/a ")</f>
        <v>0</v>
      </c>
      <c r="AL26" s="53">
        <f>+IFERROR((SUM(AL18:AL21,AL10:AL13)-MAX(AL10:AL13,AL18:AL21)-MIN(AL10:AL13,AL18:AL21))/(COUNT(AL18:AL21,AL10:AL13)-2),"n/a ")</f>
        <v>0</v>
      </c>
      <c r="AM26" s="53"/>
      <c r="BR26" s="47"/>
      <c r="BS26" s="47"/>
      <c r="BT26" s="47"/>
      <c r="BU26" s="47"/>
      <c r="BV26" s="50"/>
      <c r="BW26" s="50"/>
      <c r="BX26" s="50"/>
      <c r="BZ26" s="47"/>
      <c r="CA26" s="47"/>
      <c r="CB26" s="47"/>
    </row>
    <row r="27" spans="2:84" s="31" customFormat="1" ht="16.350000000000001" customHeight="1" collapsed="1" x14ac:dyDescent="0.25">
      <c r="B27" s="30"/>
      <c r="D27" s="59" t="s">
        <v>41</v>
      </c>
      <c r="E27" s="59"/>
      <c r="F27" s="59"/>
      <c r="G27" s="59"/>
      <c r="H27" s="59"/>
      <c r="I27" s="59"/>
      <c r="J27" s="59"/>
      <c r="K27" s="59"/>
      <c r="L27" s="60" t="str">
        <f>IFERROR(MEDIAN(L18:L21,L10:L13),"n/a ")</f>
        <v xml:space="preserve">n/a </v>
      </c>
      <c r="M27" s="60" t="str">
        <f>IFERROR(MEDIAN(M18:M21,M10:M13),"n/a ")</f>
        <v xml:space="preserve">n/a </v>
      </c>
      <c r="N27" s="60" t="str">
        <f>IFERROR(MEDIAN(N18:N21,N10:N13),"n/a ")</f>
        <v xml:space="preserve">n/a </v>
      </c>
      <c r="O27" s="60" t="str">
        <f>IFERROR(MEDIAN(O18:O21,O10:O13),"n/a ")</f>
        <v xml:space="preserve">n/a </v>
      </c>
      <c r="P27" s="60" t="str">
        <f>IFERROR(MEDIAN(P18:P21,P10:P13),"n/a ")</f>
        <v xml:space="preserve">n/a </v>
      </c>
      <c r="Q27" s="60" t="str">
        <f>IFERROR(MEDIAN(Q18:Q21,Q10:Q13),"n/a ")</f>
        <v xml:space="preserve">n/a </v>
      </c>
      <c r="R27" s="60" t="str">
        <f>IFERROR(MEDIAN(R18:R21,R10:R13),"n/a ")</f>
        <v xml:space="preserve">n/a </v>
      </c>
      <c r="S27" s="60" t="str">
        <f>IFERROR(MEDIAN(S18:S21,S10:S13),"n/a ")</f>
        <v xml:space="preserve">n/a </v>
      </c>
      <c r="T27" s="78" t="str">
        <f>IFERROR(MEDIAN(T18:T21,T10:T13),"n/a ")</f>
        <v xml:space="preserve">n/a </v>
      </c>
      <c r="U27" s="78" t="str">
        <f>IFERROR(MEDIAN(U18:U21,U10:U13),"n/a ")</f>
        <v xml:space="preserve">n/a </v>
      </c>
      <c r="V27" s="60" t="e">
        <f>+MEDIAN(V18:V21,V10:V13)</f>
        <v>#NUM!</v>
      </c>
      <c r="W27" s="60" t="e">
        <f>+MEDIAN(W18:W21,W10:W13)</f>
        <v>#NUM!</v>
      </c>
      <c r="X27" s="60" t="e">
        <f>+MEDIAN(X18:X21,X10:X13)</f>
        <v>#NUM!</v>
      </c>
      <c r="Y27" s="60" t="e">
        <f>+MEDIAN(Y18:Y21,Y10:Y13)</f>
        <v>#NUM!</v>
      </c>
      <c r="Z27" s="60" t="e">
        <f>+MEDIAN(Z18:Z21,Z10:Z13)</f>
        <v>#NUM!</v>
      </c>
      <c r="AA27" s="60" t="e">
        <f>+MEDIAN(AA18:AA21,AA10:AA13)</f>
        <v>#NUM!</v>
      </c>
      <c r="AB27" s="61" t="e">
        <f>+MEDIAN(AB18:AB21,AB10:AB13)</f>
        <v>#NUM!</v>
      </c>
      <c r="AC27" s="61" t="e">
        <f>+MEDIAN(AC18:AC21,AC10:AC13)</f>
        <v>#NUM!</v>
      </c>
      <c r="AD27" s="61" t="e">
        <f>+MEDIAN(AD18:AD21,AD10:AD13)</f>
        <v>#NUM!</v>
      </c>
      <c r="AE27" s="61" t="e">
        <f>+MEDIAN(AE18:AE21,AE10:AE13)</f>
        <v>#NUM!</v>
      </c>
      <c r="AF27" s="61" t="e">
        <f>+MEDIAN(AF18:AF21,AF10:AF13)</f>
        <v>#NUM!</v>
      </c>
      <c r="AG27" s="61" t="e">
        <f>+MEDIAN(AG18:AG21,AG10:AG13)</f>
        <v>#NUM!</v>
      </c>
      <c r="AH27" s="61" t="e">
        <f>+MEDIAN(AH18:AH21,AH10:AH13)</f>
        <v>#NUM!</v>
      </c>
      <c r="AI27" s="61" t="e">
        <f>+MEDIAN(AI18:AI21,AI10:AI13)</f>
        <v>#NUM!</v>
      </c>
      <c r="AJ27" s="61" t="e">
        <f>+MEDIAN(AJ18:AJ21,AJ10:AJ13)</f>
        <v>#NUM!</v>
      </c>
      <c r="AK27" s="61" t="e">
        <f>+MEDIAN(AK18:AK21,AK10:AK13)</f>
        <v>#NUM!</v>
      </c>
      <c r="AL27" s="61" t="e">
        <f>+MEDIAN(AL18:AL21,AL10:AL13)</f>
        <v>#NUM!</v>
      </c>
      <c r="AM27" s="61"/>
      <c r="BR27" s="47"/>
      <c r="BS27" s="47"/>
      <c r="BT27" s="47"/>
      <c r="BU27" s="47"/>
      <c r="BV27" s="50"/>
      <c r="BW27" s="50"/>
      <c r="BX27" s="50"/>
      <c r="BZ27" s="47"/>
      <c r="CA27" s="47"/>
      <c r="CB27" s="47"/>
    </row>
    <row r="28" spans="2:84" s="10" customFormat="1" ht="3" customHeight="1" x14ac:dyDescent="0.25">
      <c r="B28" s="9"/>
      <c r="J28" s="28"/>
      <c r="K28" s="28"/>
      <c r="L28" s="28"/>
      <c r="BR28" s="46"/>
      <c r="BS28" s="46"/>
      <c r="BT28" s="46"/>
      <c r="BU28" s="46"/>
      <c r="BV28" s="49"/>
      <c r="BW28" s="49"/>
      <c r="BX28" s="49"/>
      <c r="BZ28" s="46"/>
      <c r="CA28" s="46"/>
      <c r="CB28" s="46"/>
    </row>
  </sheetData>
  <sortState xmlns:xlrd2="http://schemas.microsoft.com/office/spreadsheetml/2017/richdata2" ref="B10:CF13">
    <sortCondition descending="1" ref="K10:K13"/>
  </sortState>
  <conditionalFormatting sqref="G10:G13 G18:G21">
    <cfRule type="expression" dxfId="4" priority="41">
      <formula>I10="EUR"</formula>
    </cfRule>
    <cfRule type="expression" dxfId="3" priority="42">
      <formula>I10="CAD"</formula>
    </cfRule>
  </conditionalFormatting>
  <conditionalFormatting sqref="B17">
    <cfRule type="duplicateValues" dxfId="2" priority="2"/>
  </conditionalFormatting>
  <conditionalFormatting sqref="B9:B13">
    <cfRule type="duplicateValues" dxfId="1" priority="56"/>
  </conditionalFormatting>
  <conditionalFormatting sqref="B18:B21">
    <cfRule type="duplicateValues" dxfId="0" priority="61"/>
  </conditionalFormatting>
  <pageMargins left="0.7" right="0.7" top="0.75" bottom="0.75" header="0.3" footer="0.3"/>
  <pageSetup scale="20" fitToHeight="0" orientation="landscape"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vt:i4>
      </vt:variant>
      <vt:variant>
        <vt:lpstr>Named Ranges</vt:lpstr>
      </vt:variant>
      <vt:variant>
        <vt:i4>1</vt:i4>
      </vt:variant>
    </vt:vector>
  </HeadingPairs>
  <TitlesOfParts>
    <vt:vector size="2" baseType="lpstr">
      <vt:lpstr>Comps</vt:lpstr>
      <vt:lpstr>Comps!Print_Area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Joey Shaw</dc:creator>
  <cp:lastModifiedBy>Tate Wilson</cp:lastModifiedBy>
  <dcterms:created xsi:type="dcterms:W3CDTF">2018-01-24T22:30:48Z</dcterms:created>
  <dcterms:modified xsi:type="dcterms:W3CDTF">2026-03-19T16:05:52Z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44787D4-0540-4523-9961-78E4036D8C6D}">
    <vt:lpwstr>{02F2FB49-18D7-4FD0-B391-8825F6E7E010}</vt:lpwstr>
  </property>
  <property fmtid="{D5CDD505-2E9C-101B-9397-08002B2CF9AE}" pid="3" name="snltemplateid">
    <vt:r8>430539263</vt:r8>
  </property>
  <property fmtid="{D5CDD505-2E9C-101B-9397-08002B2CF9AE}" pid="4" name="KeyFile">
    <vt:r8>430539263</vt:r8>
  </property>
  <property fmtid="{D5CDD505-2E9C-101B-9397-08002B2CF9AE}" pid="5" name="MSIP_Label_6267e522-0091-4d88-9989-f382df9eb3cc_Enabled">
    <vt:lpwstr>true</vt:lpwstr>
  </property>
  <property fmtid="{D5CDD505-2E9C-101B-9397-08002B2CF9AE}" pid="6" name="MSIP_Label_6267e522-0091-4d88-9989-f382df9eb3cc_SetDate">
    <vt:lpwstr>2025-06-17T19:12:40Z</vt:lpwstr>
  </property>
  <property fmtid="{D5CDD505-2E9C-101B-9397-08002B2CF9AE}" pid="7" name="MSIP_Label_6267e522-0091-4d88-9989-f382df9eb3cc_Method">
    <vt:lpwstr>Privileged</vt:lpwstr>
  </property>
  <property fmtid="{D5CDD505-2E9C-101B-9397-08002B2CF9AE}" pid="8" name="MSIP_Label_6267e522-0091-4d88-9989-f382df9eb3cc_Name">
    <vt:lpwstr>General</vt:lpwstr>
  </property>
  <property fmtid="{D5CDD505-2E9C-101B-9397-08002B2CF9AE}" pid="9" name="MSIP_Label_6267e522-0091-4d88-9989-f382df9eb3cc_SiteId">
    <vt:lpwstr>8f3e36ea-8039-4b40-81a7-7dc0599e8645</vt:lpwstr>
  </property>
  <property fmtid="{D5CDD505-2E9C-101B-9397-08002B2CF9AE}" pid="10" name="MSIP_Label_6267e522-0091-4d88-9989-f382df9eb3cc_ActionId">
    <vt:lpwstr>91041642-74f4-4405-ac8d-5e74025083d7</vt:lpwstr>
  </property>
  <property fmtid="{D5CDD505-2E9C-101B-9397-08002B2CF9AE}" pid="11" name="MSIP_Label_6267e522-0091-4d88-9989-f382df9eb3cc_ContentBits">
    <vt:lpwstr>0</vt:lpwstr>
  </property>
</Properties>
</file>