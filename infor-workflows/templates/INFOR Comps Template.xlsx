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inforfg1-my.sharepoint.com/personal/twilson_inforfg_com/Documents/Desktop/Claude Access Folder/"/>
    </mc:Choice>
  </mc:AlternateContent>
  <xr:revisionPtr revIDLastSave="0" documentId="8_{EE767EBD-4B0B-423A-B47B-5C8D3B5800E1}" xr6:coauthVersionLast="47" xr6:coauthVersionMax="47" xr10:uidLastSave="{00000000-0000-0000-0000-000000000000}"/>
  <bookViews>
    <workbookView xWindow="28680" yWindow="-120" windowWidth="29040" windowHeight="15720" firstSheet="1" activeTab="1" xr2:uid="{00000000-000D-0000-FFFF-FFFF00000000}"/>
  </bookViews>
  <sheets>
    <sheet name="__snloffice" sheetId="2" state="veryHidden" r:id="rId1"/>
    <sheet name="Comps" sheetId="1" r:id="rId2"/>
  </sheets>
  <definedNames>
    <definedName name="_____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FDS_HYPERLINK_TOGGLE_STATE__" hidden="1">"ON"</definedName>
    <definedName name="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IntlFixup" hidden="1">TRUE</definedName>
    <definedName name="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1__123Graph_ACHART_1" hidden="1">#REF!</definedName>
    <definedName name="_10__123Graph_BCHART_17" hidden="1">#REF!</definedName>
    <definedName name="_11__123Graph_BCHART_19" hidden="1">#REF!</definedName>
    <definedName name="_23__123Graph_XCHART_2" hidden="1">#REF!</definedName>
    <definedName name="_24__123Graph_XCHART_4" hidden="1">#REF!</definedName>
    <definedName name="_25__123Graph_XCHART_5" hidden="1">#REF!</definedName>
    <definedName name="_3__123Graph_ACHART_2" hidden="1">#REF!</definedName>
    <definedName name="_4__123Graph_ACHART_4" hidden="1">#REF!</definedName>
    <definedName name="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bdm.0390D31B9DDC430895DA51396740E650.edm" hidden="1">#REF!</definedName>
    <definedName name="_bdm.21896BA706F04B61A4706E387595E573.edm" hidden="1">#REF!</definedName>
    <definedName name="_bdm.5E0146E00CD1449A9DB679403071135B.edm" hidden="1">#REF!</definedName>
    <definedName name="_bdm.67065F9898AC44E9A916867D78CAD177.edm" hidden="1">#REF!</definedName>
    <definedName name="_bdm.7DD6A96793594A048DC1EA9DC909B0AC.edm" hidden="1">#REF!</definedName>
    <definedName name="_bdm.860EDC4EC26644C782AFF2C476A79C8C.edm" hidden="1">#REF!</definedName>
    <definedName name="_bdm.8A1B83C9FE0F48BABF1BCDE8A6EFDD1E.edm" hidden="1">#REF!</definedName>
    <definedName name="_bdm.9741F78FEC3D4DF09984B3D3F14F4912.edm" hidden="1">#REF!</definedName>
    <definedName name="_bdm.A3265732C03A4151AFE1652990F45E0B.edm" hidden="1">#REF!</definedName>
    <definedName name="_bdm.B506EE73E3E646EABF5412DA88E0369D.edm" hidden="1">#REF!</definedName>
    <definedName name="_bdm.C0E5EBB5E9E9412BBA810D9013837C4E.edm" hidden="1">#REF!</definedName>
    <definedName name="_bdm.CC2C753C68C44C6EBA5ABFFB9C5FD405.edm" hidden="1">#REF!</definedName>
    <definedName name="_bdm.D6765C2A491342A89E641E0324AD9446.edm" hidden="1">#REF!</definedName>
    <definedName name="_bdm.D6807F17A49D42E0A711CBF1C88703B3.edm" hidden="1">#REF!</definedName>
    <definedName name="_bdm.E27030F4A2814D64A4A88CCCFD091157.edm" hidden="1">#REF!</definedName>
    <definedName name="_bdm.E8B571B580C54C2F97581663ED5DDA19.edm" hidden="1">#REF!</definedName>
    <definedName name="_bdm.F9123455C72F46B9BC508B850D9F51A1.edm" hidden="1">#REF!</definedName>
    <definedName name="_bdm.FastTrackBookmark.2_18_2007_3_14_23_PM.edm" hidden="1">#REF!</definedName>
    <definedName name="_bdm.FastTrackBookmark.2_18_2007_3_14_30_PM.edm" hidden="1">#REF!</definedName>
    <definedName name="_BQ4.2" hidden="1">#REF!</definedName>
    <definedName name="_BQ4.3" hidden="1">#REF!</definedName>
    <definedName name="_CCC1"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_Fill" hidden="1">#REF!</definedName>
    <definedName name="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Key1" hidden="1">#REF!</definedName>
    <definedName name="_Key2" hidden="1">#REF!</definedName>
    <definedName name="_Order1" hidden="1">255</definedName>
    <definedName name="_Order2" hidden="1">255</definedName>
    <definedName name="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Sort" hidden="1">#REF!</definedName>
    <definedName name="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a" hidden="1">{#N/A,#N/A,FALSE,"CANADA - P&amp;L QTR";#N/A,#N/A,FALSE,"DFSCAN - P&amp;L QTR";#N/A,#N/A,FALSE,"OPC - P&amp;L QTR";#N/A,#N/A,FALSE,"CANOTH - P&amp;L QTR";#N/A,#N/A,FALSE,"TECHCAN - P&amp;L QTR";#N/A,#N/A,FALSE,"FINLINX - P&amp;L QTR";#N/A,#N/A,FALSE,"IFWORKOUT - P&amp;L QTR";#N/A,#N/A,FALSE,"AGILENTCA - P&amp;L QTR";#N/A,#N/A,FALSE,"RFG0011000 - P&amp;L QTR"}</definedName>
    <definedName name="a_new"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AAA" hidden="1">{"Total Admin",#N/A,FALSE,"Admin";"Executive",#N/A,FALSE,"Admin";"Finance",#N/A,FALSE,"Admin";"Marketing",#N/A,FALSE,"Admin";"NonDepartmental",#N/A,FALSE,"Admin"}</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o" hidden="1">#REF!</definedName>
    <definedName name="AccessDatabase" hidden="1">"G:\GC\INV\554\07_01\554_0701.mdb"</definedName>
    <definedName name="Amort"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anscount" hidden="1">1</definedName>
    <definedName name="b"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b_new"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BBB" hidden="1">{"TOTAL",#N/A,FALSE,"Total";"Total East",#N/A,FALSE,"East";"Atlanta",#N/A,FALSE,"East";"Baltimore",#N/A,FALSE,"East";"Charlotte",#N/A,FALSE,"East";"Maitland",#N/A,FALSE,"East";"Marlton Admin",#N/A,FALSE,"East";"Marlton Sales",#N/A,FALSE,"East";"Pittsburgh",#N/A,FALSE,"East";"Plymouth Meeting",#N/A,FALSE,"East";"Raleigh",#N/A,FALSE,"East";"Richmond",#N/A,FALSE,"East";"Tampa",#N/A,FALSE,"East";"White Plains",#N/A,FALSE,"East";"Total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Louis",#N/A,FALSE,"Central";"Total West",#N/A,FALSE,"West";"Austin",#N/A,FALSE,"West";"Dallas",#N/A,FALSE,"West";"Houston",#N/A,FALSE,"West";"Las Vegas",#N/A,FALSE,"West";"Pasadena",#N/A,FALSE,"West";"Phoenix",#N/A,FALSE,"West";"Pleasanton Admin",#N/A,FALSE,"West";"Pleasanton Sales",#N/A,FALSE,"West";"Portland",#N/A,FALSE,"West";"Salt Lake City",#N/A,FALSE,"West";"San Diego",#N/A,FALSE,"West";"Seattle",#N/A,FALSE,"West";"NHEC",#N/A,FALSE,"NHEC";"Total Wholesale",#N/A,FALSE,"Wholesale";"Whsle_Admin",#N/A,FALSE,"Wholesale";"Whsle_Lombard",#N/A,FALSE,"Wholesale";"Whsle_Marlton",#N/A,FALSE,"Wholesale";"Whsle_Pleasanton",#N/A,FALSE,"Wholesale";"Total Admin",#N/A,FALSE,"Admin";"Executive",#N/A,FALSE,"Admin";"Finance",#N/A,FALSE,"Admin";"Marketing",#N/A,FALSE,"Admin";"NonDepartmental",#N/A,FALSE,"Admin";"Total Credit",#N/A,FALSE,"Credit";"Appraisal",#N/A,FALSE,"Credit";"Customer Service",#N/A,FALSE,"Credit";"Home Office",#N/A,FALSE,"Credit";"Quality Control",#N/A,FALSE,"Credit";"Risk Mgmt",#N/A,FALSE,"Credit"}</definedName>
    <definedName name="bv" hidden="1">"c2205"</definedName>
    <definedName name="cc"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cc_new"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CCC"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ccccc"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ccccc_new"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CDG"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CIQWBGuid" hidden="1">"0c9e1791-fbbe-49df-8365-e459806d50bd"</definedName>
    <definedName name="CIQWBInfo" hidden="1">"{ ""CIQVersion"":""9.52.4409.4666"" }"</definedName>
    <definedName name="consumer3"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consumer3a"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Covad"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Cova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define" hidden="1">{#N/A,#N/A,FALSE,"Euromat"}</definedName>
    <definedName name="Depreciation" hidden="1">{#N/A,#N/A,FALSE,"Op Exp By Cost Ctr";#N/A,#N/A,FALSE,"ASSUMPTIONS";#N/A,#N/A,FALSE,"P&amp;L";#N/A,#N/A,FALSE,"Graph";#N/A,#N/A,FALSE,"Op Exp Chart";#N/A,#N/A,FALSE,"Op Exp By Cost Ctr";#N/A,#N/A,FALSE,"FTE Graph"}</definedName>
    <definedName name="EEE"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EV__LASTREFTIME__" hidden="1">38282.5116550926</definedName>
    <definedName name="Fees"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FeesDan" hidden="1">{"Total Credit",#N/A,FALSE,"Credit";"Appraisal",#N/A,FALSE,"Credit";"Customer Service",#N/A,FALSE,"Credit";"Home Office",#N/A,FALSE,"Credit";"Quality Control",#N/A,FALSE,"Credit";"Risk Mgmt",#N/A,FALSE,"Credit"}</definedName>
    <definedName name="FFF" hidden="1">{"NHEC",#N/A,FALSE,"NHEC"}</definedName>
    <definedName name="FP"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GDC" hidden="1">{"Total Admin",#N/A,FALSE,"Admin";"Executive",#N/A,FALSE,"Admin";"Finance",#N/A,FALSE,"Admin";"Marketing",#N/A,FALSE,"Admin";"NonDepartmental",#N/A,FALSE,"Admin"}</definedName>
    <definedName name="GGG" hidden="1">{"TOTAL",#N/A,FALSE,"Total";"Total East",#N/A,FALSE,"East";"Total Central",#N/A,FALSE,"Central";"Total West",#N/A,FALSE,"West";"NHEC",#N/A,FALSE,"NHEC";"Total Wholesale",#N/A,FALSE,"Wholesale";"Total Credit",#N/A,FALSE,"Credit";"Total Admin",#N/A,FALSE,"Admin"}</definedName>
    <definedName name="HHH"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hhhhhgh" hidden="1">{"Total Admin",#N/A,FALSE,"Admin";"Executive",#N/A,FALSE,"Admin";"Finance",#N/A,FALSE,"Admin";"Marketing",#N/A,FALSE,"Admin";"NonDepartmental",#N/A,FALSE,"Admin"}</definedName>
    <definedName name="III" hidden="1">{"Total Wholesale",#N/A,FALSE,"Wholesale";"Whsle_Admin",#N/A,FALSE,"Wholesale";"Whsle_Lombard",#N/A,FALSE,"Wholesale";"Whsle_Marlton",#N/A,FALSE,"Wholesale";"Whsle_Pleasanton",#N/A,FALSE,"Wholesale"}</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ROKER_REC_NO_REUT" hidden="1">"c5315"</definedName>
    <definedName name="IQ_AVG_BROKER_REC_REUT" hidden="1">"c3630"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L_Q_EST_REUT" hidden="1">"c6800"</definedName>
    <definedName name="IQ_CAL_Y_EST_REUT" hidden="1">"c6801"</definedName>
    <definedName name="IQ_CAPEX_BR" hidden="1">"c111"</definedName>
    <definedName name="IQ_CASH_DIVIDENDS_NET_INCOME_FDIC" hidden="1">"c6738"</definedName>
    <definedName name="IQ_CASH_IN_PROCESS_FDIC" hidden="1">"c6386"</definedName>
    <definedName name="IQ_CCE_FDIC" hidden="1">"c6296"</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ANNOUNCE_DATE_REUT" hidden="1">"c5314"</definedName>
    <definedName name="IQ_EARNINGS_COVERAGE_NET_CHARGE_OFFS_FDIC" hidden="1">"c6735"</definedName>
    <definedName name="IQ_EBITDA_EST_REUT" hidden="1">"c3640"</definedName>
    <definedName name="IQ_EBITDA_HIGH_EST_REUT" hidden="1">"c3642"</definedName>
    <definedName name="IQ_EBITDA_LOW_EST_REUT" hidden="1">"c3643"</definedName>
    <definedName name="IQ_EBITDA_MEDIAN_EST_REUT" hidden="1">"c3641"</definedName>
    <definedName name="IQ_EBITDA_NUM_EST_REUT" hidden="1">"c3644"</definedName>
    <definedName name="IQ_EBITDA_STDDEV_EST_REUT" hidden="1">"c3645"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_EST_REUT" hidden="1">"c5453"</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ACT_EPS_GW_REUT" hidden="1">"c5395"</definedName>
    <definedName name="IQ_EST_ACT_EPS_NORM_REUT" hidden="1">"c5332"</definedName>
    <definedName name="IQ_EST_ACT_EPS_REPORTED_REUT" hidden="1">"c5402"</definedName>
    <definedName name="IQ_EST_CURRENCY_REUT" hidden="1">"c5437"</definedName>
    <definedName name="IQ_EST_DATE_REUT" hidden="1">"c5438"</definedName>
    <definedName name="IQ_EST_EPS_GROWTH_1YR_REUT" hidden="1">"c3646"</definedName>
    <definedName name="IQ_EST_EPS_GROWTH_5YR_REUT" hidden="1">"c3633"</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IMATED_ASSESSABLE_DEPOSITS_FDIC" hidden="1">"c6490"</definedName>
    <definedName name="IQ_ESTIMATED_INSURED_DEPOSITS_FDIC" hidden="1">"c6491"</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SCAL_Q_EST_REUT" hidden="1">"c6798"</definedName>
    <definedName name="IQ_FISCAL_Y_EST_REUT" hidden="1">"c6799"</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IGH_TARGET_PRICE_REUT" hidden="1">"c5317"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"11/26/2024 06:39:23"</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_EXCL_FWD_REUT" hidden="1">"c4049"</definedName>
    <definedName name="IQ_PEG_FWD_REUT" hidden="1">"c4052"</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CE_TARGET_REUT" hidden="1">"c3631"</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_STDDEV_EST_REUT" hidden="1">"c3639"</definedName>
    <definedName name="IQ_REVALUATION_GAINS_FDIC" hidden="1">"c6428"</definedName>
    <definedName name="IQ_REVALUATION_LOSSES_FDIC" hidden="1">"c6429"</definedName>
    <definedName name="IQ_REVENUE_EST_REUT" hidden="1">"c3634"</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EVOLVING_SECURED_1_–4_NON_ACCRUAL_FFIEC" hidden="1">"c15565"</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ARGET_PRICE_NUM_REUT" hidden="1">"c5319"</definedName>
    <definedName name="IQ_TARGET_PRICE_STDDEV_REUT" hidden="1">"c5320"</definedName>
    <definedName name="IQ_TEV_EBITDA_FWD_REUT" hidden="1">"c4050"</definedName>
    <definedName name="IQ_TEV_TOTAL_REV_FWD_REUT" hidden="1">"c4051"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jv" hidden="1">{#N/A,#N/A,FALSE,"CANADA - P&amp;L QTR";#N/A,#N/A,FALSE,"DFSCAN - P&amp;L QTR";#N/A,#N/A,FALSE,"OPC - P&amp;L QTR";#N/A,#N/A,FALSE,"CANOTH - P&amp;L QTR";#N/A,#N/A,FALSE,"TECHCAN - P&amp;L QTR";#N/A,#N/A,FALSE,"FINLINX - P&amp;L QTR";#N/A,#N/A,FALSE,"IFWORKOUT - P&amp;L QTR";#N/A,#N/A,FALSE,"AGILENTCA - P&amp;L QTR";#N/A,#N/A,FALSE,"RFG0011000 - P&amp;L QTR"}</definedName>
    <definedName name="LLL" hidden="1">{"Total Admin",#N/A,FALSE,"Admin";"Executive",#N/A,FALSE,"Admin";"Finance",#N/A,FALSE,"Admin";"Marketing",#N/A,FALSE,"Admin";"NonDepartmental",#N/A,FALSE,"Admin"}</definedName>
    <definedName name="M"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MLNK0017761dc7b84ce49f6735607f067741" hidden="1">#REF!</definedName>
    <definedName name="MLNK008067c1bd0141c1a0d8e8c72aa95d85" comment="Dividend" hidden="1">#REF!</definedName>
    <definedName name="MLNK00e16290804543fdb368e6387c7aa92c" hidden="1">#REF!</definedName>
    <definedName name="MLNK08467adcfc684cca8a82950ebb4d438c" hidden="1">#REF!</definedName>
    <definedName name="MLNK096c723391cb47aa8fdd909a177a7c24" hidden="1">#REF!</definedName>
    <definedName name="MLNK18fe92e4b7924d64b11b0d36fc051fd9" comment="Trading Data - Canada" hidden="1">#REF!</definedName>
    <definedName name="MLNK191a8e8a2b254332a365337ea9e835fc" hidden="1">#REF!</definedName>
    <definedName name="MLNK1f79e4e60dea46088860e093d951e80c" hidden="1">#REF!</definedName>
    <definedName name="MLNK21233e5452834ee9bf1cff7e8b9110d1" hidden="1">#REF!</definedName>
    <definedName name="MLNK235705051fd54a94a12b6f4daf0a48a6" hidden="1">#REF!</definedName>
    <definedName name="MLNK25a44cdb9be44dc681b2e93c3a32b609" comment="Comps" hidden="1">#REF!</definedName>
    <definedName name="MLNK27a8b1bd6ca643d4b08720b6ac3e38c1" hidden="1">#REF!</definedName>
    <definedName name="MLNK368f552a066b4ea1b142018607201f8b" hidden="1">#REF!</definedName>
    <definedName name="MLNK3815fcbfebcb490baf9b86174576ce95" hidden="1">#REF!</definedName>
    <definedName name="MLNK4e27fff2c6d54cd89f951ee86ce4eaad" hidden="1">#REF!</definedName>
    <definedName name="MLNK4fd2e3ceac464726b63c904de1f9a796" hidden="1">#REF!</definedName>
    <definedName name="MLNK56b240f41d2942fcb9b403b5a476a7d8" hidden="1">#REF!</definedName>
    <definedName name="MLNK5ba01ab6b2dd4c4f94bf60093b153ee4" hidden="1">#REF!</definedName>
    <definedName name="MLNK5e5ab4f18b104bcaa26dfc9b8edd8d3d" hidden="1">Comps!$D$6:$AK$39</definedName>
    <definedName name="MLNK5ec79545d49d493f93a2420475c22a3f" hidden="1">#REF!</definedName>
    <definedName name="MLNK5f342b94d77944659b1ef5a7dbaef93a" hidden="1">#REF!</definedName>
    <definedName name="MLNK601c1ef95cb34d09b82b1a6ff7d9605a" hidden="1">#REF!</definedName>
    <definedName name="MLNK692e97b0272147b189470355d0f6165a" hidden="1">#REF!</definedName>
    <definedName name="MLNK6d5fcc4c2c534538b719d06819b967a8" hidden="1">#REF!</definedName>
    <definedName name="MLNK78682168b0c24d918fa19ab282660391" comment="Trading Data - TSX" hidden="1">#REF!</definedName>
    <definedName name="MLNK8ad5f35a4bfd46728c3273a4d5c7a905" hidden="1">#REF!</definedName>
    <definedName name="MLNK90417d75114a48c0a1779bb363a329cd" hidden="1">#REF!</definedName>
    <definedName name="MLNK90bd4aad386a4451b6d8702c11dda57c" hidden="1">#REF!</definedName>
    <definedName name="MLNK94d282c0cd3c43fb89fa5c845ea3d8b5" hidden="1">Comps!$D$6:$AK$42</definedName>
    <definedName name="MLNK96eba42b27654b0c96a777c2b1f2c026" hidden="1">#REF!</definedName>
    <definedName name="MLNK9c76f014126946d781f4ec0cf20e8cb4" hidden="1">#REF!</definedName>
    <definedName name="MLNK9ff9d28edd3148e7a8cba265311858fd" hidden="1">#REF!</definedName>
    <definedName name="MLNKa768bbe075e743f795a235173edaddd6" hidden="1">#REF!</definedName>
    <definedName name="MLNKa79299cebbbd4162ae3edb9216b5b356" hidden="1">#REF!</definedName>
    <definedName name="MLNKa999b39ef18b4931b94a318bba8e9bb8" hidden="1">#REF!</definedName>
    <definedName name="MLNKad7b52d9d1da42909516fb3eb60fcf9d" hidden="1">#REF!</definedName>
    <definedName name="MLNKb60a37edcb7e473a9ce34b9a5f47c82b" comment="Share Price" hidden="1">#REF!</definedName>
    <definedName name="MLNKb62cabc7bcec4cdbb3cfc3022396f79f" hidden="1">#REF!</definedName>
    <definedName name="MLNKbe0e2be4027b438ea02d75a505d588e9" hidden="1">#REF!</definedName>
    <definedName name="MLNKc1b93f4a9efa4906bae16c7cccff8d68" hidden="1">#REF!</definedName>
    <definedName name="MLNKc4cd6e0521df420d8dda32549959b881" hidden="1">#REF!</definedName>
    <definedName name="MLNKc7b49e5061db431a836a0cd4d2d30033" comment="Sheet1" hidden="1">#REF!</definedName>
    <definedName name="MLNKc930f2d6b0444c13bf5a495d7326f8e2" hidden="1">#REF!</definedName>
    <definedName name="MLNKced5d0e945a94784b165f0ebc610f111" hidden="1">#REF!</definedName>
    <definedName name="MLNKcee05d54c76044aabaf96e0a7c65c242" comment="Dividend" hidden="1">#REF!</definedName>
    <definedName name="MLNKd241237c88af4508bf3aca2c012af96c" hidden="1">#REF!</definedName>
    <definedName name="MLNKd24dae871040473a813590e9d4f4b491" hidden="1">#REF!</definedName>
    <definedName name="MLNKd275bd902a604f4fb880f53225a2667c" hidden="1">#REF!</definedName>
    <definedName name="MLNKd34b264671104085851f11311f202427" hidden="1">#REF!</definedName>
    <definedName name="MLNKd41edab3364143e09203b074ecf88c48" hidden="1">#REF!</definedName>
    <definedName name="MLNKd4454fa2c78c4246a8fb364d7ef30780" hidden="1">#REF!</definedName>
    <definedName name="MLNKd4f01939bcd24967bbcfbf3ca620aca0" comment="Historical Valuation" hidden="1">#REF!</definedName>
    <definedName name="MLNKd7df039e86cf4a18a8273f85e3d29d8b" comment="Yield" hidden="1">#REF!</definedName>
    <definedName name="MLNKda092e9dc81346ecb06f5cf05e7dba90" hidden="1">#REF!</definedName>
    <definedName name="MLNKda4026ac65084d30a1333076fbef014f" hidden="1">#REF!</definedName>
    <definedName name="MLNKdaff7656396a4e4096ecadc81a37f75b" hidden="1">#REF!</definedName>
    <definedName name="MLNKdba6335f5433442abbb3ca61d88516ed" hidden="1">#REF!</definedName>
    <definedName name="MLNKde5ef28fdf41452692b55d8a5e8f1a4c" hidden="1">#REF!</definedName>
    <definedName name="MLNKdf1e1d7dacd046249874f1d338d1c555" hidden="1">#REF!</definedName>
    <definedName name="MLNKe3010ac5b5bc4749b2bee97f5135e368" hidden="1">#REF!</definedName>
    <definedName name="MLNKe327292fed1643fc867ea79956241d28" hidden="1">#REF!</definedName>
    <definedName name="MLNKe54e41f04e9443a99a4e15130449ac17" hidden="1">#REF!</definedName>
    <definedName name="MLNKe76ccb5d0e0440fc9c0b513f2a72d8a0" hidden="1">Comps!$1:$1048576</definedName>
    <definedName name="MLNKf201d55c037d406db81a1f1188ec6a4c" hidden="1">#REF!</definedName>
    <definedName name="MLNKf4749ab5a14f4bc885c12c1aa49bfeb4" hidden="1">#REF!</definedName>
    <definedName name="MLNKf7640b0d849d4118ab005ca0374148c8" hidden="1">#REF!</definedName>
    <definedName name="MLNKfa116274ec374fc08b25aa36a389ea8f" hidden="1">#REF!</definedName>
    <definedName name="MLNKfc58c3645d7f42c59a9727ba333408b9" hidden="1">#REF!</definedName>
    <definedName name="MMM" hidden="1">{"TOTAL",#N/A,FALSE,"Total";"Total East",#N/A,FALSE,"East";"Atlanta",#N/A,FALSE,"East";"Baltimore",#N/A,FALSE,"East";"Charlotte",#N/A,FALSE,"East";"Maitland",#N/A,FALSE,"East";"Marlton Admin",#N/A,FALSE,"East";"Marlton Sales",#N/A,FALSE,"East";"Pittsburgh",#N/A,FALSE,"East";"Plymouth Meeting",#N/A,FALSE,"East";"Raleigh",#N/A,FALSE,"East";"Richmond",#N/A,FALSE,"East";"Tampa",#N/A,FALSE,"East";"White Plains",#N/A,FALSE,"East";"Total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Louis",#N/A,FALSE,"Central";"Total West",#N/A,FALSE,"West";"Austin",#N/A,FALSE,"West";"Dallas",#N/A,FALSE,"West";"Houston",#N/A,FALSE,"West";"Las Vegas",#N/A,FALSE,"West";"Pasadena",#N/A,FALSE,"West";"Phoenix",#N/A,FALSE,"West";"Pleasanton Admin",#N/A,FALSE,"West";"Pleasanton Sales",#N/A,FALSE,"West";"Portland",#N/A,FALSE,"West";"Salt Lake City",#N/A,FALSE,"West";"San Diego",#N/A,FALSE,"West";"Seattle",#N/A,FALSE,"West";"NHEC",#N/A,FALSE,"NHEC";"Total Wholesale",#N/A,FALSE,"Wholesale";"Whsle_Admin",#N/A,FALSE,"Wholesale";"Whsle_Lombard",#N/A,FALSE,"Wholesale";"Whsle_Marlton",#N/A,FALSE,"Wholesale";"Whsle_Pleasanton",#N/A,FALSE,"Wholesale";"Total Admin",#N/A,FALSE,"Admin";"Executive",#N/A,FALSE,"Admin";"Finance",#N/A,FALSE,"Admin";"Marketing",#N/A,FALSE,"Admin";"NonDepartmental",#N/A,FALSE,"Admin";"Total Credit",#N/A,FALSE,"Credit";"Appraisal",#N/A,FALSE,"Credit";"Customer Service",#N/A,FALSE,"Credit";"Home Office",#N/A,FALSE,"Credit";"Quality Control",#N/A,FALSE,"Credit";"Risk Mgmt",#N/A,FALSE,"Credit"}</definedName>
    <definedName name="new"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NNN"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noname" hidden="1">{#N/A,#N/A,FALSE,"Euromat"}</definedName>
    <definedName name="OOO" hidden="1">{"Total Credit",#N/A,FALSE,"Credit";"Appraisal",#N/A,FALSE,"Credit";"Customer Service",#N/A,FALSE,"Credit";"Home Office",#N/A,FALSE,"Credit";"Quality Control",#N/A,FALSE,"Credit";"Risk Mgmt",#N/A,FALSE,"Credit"}</definedName>
    <definedName name="PPP"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_xlnm.Print_Area" localSheetId="1">Comps!$A$1:$CG$42</definedName>
    <definedName name="Q"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QQQ" hidden="1">{"NHEC",#N/A,FALSE,"NHEC"}</definedName>
    <definedName name="RO"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RRR" hidden="1">{"TOTAL",#N/A,FALSE,"Total";"Total East",#N/A,FALSE,"East";"Total Central",#N/A,FALSE,"Central";"Total West",#N/A,FALSE,"West";"NHEC",#N/A,FALSE,"NHEC";"Total Wholesale",#N/A,FALSE,"Wholesale";"Total Credit",#N/A,FALSE,"Credit";"Total Admin",#N/A,FALSE,"Admin"}</definedName>
    <definedName name="SAPBEXdnldView" hidden="1">"3AZ7TPCT6F7CLWHBG4RBGUQ78"</definedName>
    <definedName name="SAPBEXsysID" hidden="1">"PW1"</definedName>
    <definedName name="SAPFuncF4Help" hidden="1">Main.SAPF4Help()</definedName>
    <definedName name="shit"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SL"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SS"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taft" hidden="1">{#N/A,#N/A,FALSE,"Op Exp By Cost Ctr";#N/A,#N/A,FALSE,"ASSUMPTIONS";#N/A,#N/A,FALSE,"P&amp;L";#N/A,#N/A,FALSE,"Graph";#N/A,#N/A,FALSE,"Op Exp Chart";#N/A,#N/A,FALSE,"Op Exp By Cost Ctr";#N/A,#N/A,FALSE,"FTE Graph"}</definedName>
    <definedName name="TD_BRI"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test"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test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123" hidden="1">{#N/A,#N/A,FALSE,"Euromat"}</definedName>
    <definedName name="test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2a"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2b"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2c"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2x"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3a"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3b"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69"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hreeTomC."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oms1and2"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TT" hidden="1">{"Total Wholesale",#N/A,FALSE,"Wholesale";"Whsle_Admin",#N/A,FALSE,"Wholesale";"Whsle_Lombard",#N/A,FALSE,"Wholesale";"Whsle_Marlton",#N/A,FALSE,"Wholesale";"Whsle_Pleasanton",#N/A,FALSE,"Wholesale"}</definedName>
    <definedName name="wrn.2001._.plan." hidden="1">{#N/A,#N/A,FALSE,"Op Exp By Cost Ctr";#N/A,#N/A,FALSE,"ASSUMPTIONS";#N/A,#N/A,FALSE,"P&amp;L";#N/A,#N/A,FALSE,"Graph";#N/A,#N/A,FALSE,"Op Exp Chart";#N/A,#N/A,FALSE,"Op Exp By Cost Ctr";#N/A,#N/A,FALSE,"FTE Graph"}</definedName>
    <definedName name="wrn.Admin." hidden="1">{"Total Admin",#N/A,FALSE,"Admin";"Executive",#N/A,FALSE,"Admin";"Finance",#N/A,FALSE,"Admin";"Marketing",#N/A,FALSE,"Admin";"NonDepartmental",#N/A,FALSE,"Admin"}</definedName>
    <definedName name="wrn.ALL." hidden="1">{"TOTAL",#N/A,FALSE,"Total";"Total East",#N/A,FALSE,"East";"Atlanta",#N/A,FALSE,"East";"Baltimore",#N/A,FALSE,"East";"Charlotte",#N/A,FALSE,"East";"Maitland",#N/A,FALSE,"East";"Marlton Admin",#N/A,FALSE,"East";"Marlton Sales",#N/A,FALSE,"East";"Pittsburgh",#N/A,FALSE,"East";"Plymouth Meeting",#N/A,FALSE,"East";"Raleigh",#N/A,FALSE,"East";"Richmond",#N/A,FALSE,"East";"Tampa",#N/A,FALSE,"East";"White Plains",#N/A,FALSE,"East";"Total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Louis",#N/A,FALSE,"Central";"Total West",#N/A,FALSE,"West";"Austin",#N/A,FALSE,"West";"Dallas",#N/A,FALSE,"West";"Houston",#N/A,FALSE,"West";"Las Vegas",#N/A,FALSE,"West";"Pasadena",#N/A,FALSE,"West";"Phoenix",#N/A,FALSE,"West";"Pleasanton Admin",#N/A,FALSE,"West";"Pleasanton Sales",#N/A,FALSE,"West";"Portland",#N/A,FALSE,"West";"Salt Lake City",#N/A,FALSE,"West";"San Diego",#N/A,FALSE,"West";"Seattle",#N/A,FALSE,"West";"NHEC",#N/A,FALSE,"NHEC";"Total Wholesale",#N/A,FALSE,"Wholesale";"Whsle_Admin",#N/A,FALSE,"Wholesale";"Whsle_Lombard",#N/A,FALSE,"Wholesale";"Whsle_Marlton",#N/A,FALSE,"Wholesale";"Whsle_Pleasanton",#N/A,FALSE,"Wholesale";"Total Admin",#N/A,FALSE,"Admin";"Executive",#N/A,FALSE,"Admin";"Finance",#N/A,FALSE,"Admin";"Marketing",#N/A,FALSE,"Admin";"NonDepartmental",#N/A,FALSE,"Admin";"Total Credit",#N/A,FALSE,"Credit";"Appraisal",#N/A,FALSE,"Credit";"Customer Service",#N/A,FALSE,"Credit";"Home Office",#N/A,FALSE,"Credit";"Quality Control",#N/A,FALSE,"Credit";"Risk Mgmt",#N/A,FALSE,"Credit"}</definedName>
    <definedName name="wrn.All._.3._.Pages."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wrn.Bluebook." hidden="1">{#N/A,#N/A,FALSE,"P&amp;L";#N/A,#N/A,FALSE,"Graph";#N/A,#N/A,FALSE,"Variance Commentary";#N/A,#N/A,FALSE,"FTE Graph"}</definedName>
    <definedName name="wrn.Business._.Activities." hidden="1">{#N/A,#N/A,FALSE,"Trends";#N/A,#N/A,FALSE,"LnsCust";#N/A,#N/A,FALSE,"Collections";#N/A,#N/A,FALSE,"Summary";#N/A,#N/A,FALSE,"Actual-Input";#N/A,#N/A,FALSE,"Plan"}</definedName>
    <definedName name="wrn.Central."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wrn.Credit." hidden="1">{"Total Credit",#N/A,FALSE,"Credit";"Appraisal",#N/A,FALSE,"Credit";"Customer Service",#N/A,FALSE,"Credit";"Home Office",#N/A,FALSE,"Credit";"Quality Control",#N/A,FALSE,"Credit";"Risk Mgmt",#N/A,FALSE,"Credit"}</definedName>
    <definedName name="wrn.CUNA." hidden="1">{#N/A,#N/A,FALSE,"Sales Results";#N/A,#N/A,FALSE,"Sales Results"}</definedName>
    <definedName name="wrn.East."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wrn.Euromaterials_LEa" hidden="1">{#N/A,#N/A,FALSE,"Euromat"}</definedName>
    <definedName name="wrn.Euromaterials_LEb" hidden="1">{#N/A,#N/A,FALSE,"Euromat"}</definedName>
    <definedName name="wrn.Executive._.Summary._.Growth."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wrn.Month_Level_01." hidden="1">{#N/A,#N/A,FALSE,"CANADA - P&amp;L MONTH";#N/A,#N/A,FALSE,"DFSCAN - P&amp;L MONTH";#N/A,#N/A,FALSE,"OPC - P&amp;L MONTH";#N/A,#N/A,FALSE,"CANOTH - P&amp;L MONTH"}</definedName>
    <definedName name="wrn.Month_Level_02." hidden="1">{#N/A,#N/A,FALSE,"CANADA - P&amp;L MONTH";#N/A,#N/A,FALSE,"DFSCAN - P&amp;L MONTH";#N/A,#N/A,FALSE,"OPC - P&amp;L MONTH";#N/A,#N/A,FALSE,"CANOTH - P&amp;L MONTH";#N/A,#N/A,FALSE,"TECHCAN - P&amp;L MONTH";#N/A,#N/A,FALSE,"FINLINX - P&amp;L MONTH";#N/A,#N/A,FALSE,"IFWORKOUT - P&amp;L MONTH";#N/A,#N/A,FALSE,"AGILENTICA - P&amp;L MONTH";#N/A,#N/A,FALSE,"RFG0011000 - P&amp;L MONTH"}</definedName>
    <definedName name="wrn.NHEC." hidden="1">{"NHEC",#N/A,FALSE,"NHEC"}</definedName>
    <definedName name="wrn.QTR_Level_01." hidden="1">{#N/A,#N/A,FALSE,"CANADA - P&amp;L QTR";#N/A,#N/A,FALSE,"DFSCAN - P&amp;L QTR";#N/A,#N/A,FALSE,"OPC - P&amp;L QTR";#N/A,#N/A,FALSE,"CANOTH - P&amp;L QTR"}</definedName>
    <definedName name="wrn.QTR_Level_02." hidden="1">{#N/A,#N/A,FALSE,"CANADA - P&amp;L QTR";#N/A,#N/A,FALSE,"DFSCAN - P&amp;L QTR";#N/A,#N/A,FALSE,"OPC - P&amp;L QTR";#N/A,#N/A,FALSE,"CANOTH - P&amp;L QTR";#N/A,#N/A,FALSE,"TECHCAN - P&amp;L QTR";#N/A,#N/A,FALSE,"FINLINX - P&amp;L QTR";#N/A,#N/A,FALSE,"IFWORKOUT - P&amp;L QTR";#N/A,#N/A,FALSE,"AGILENTCA - P&amp;L QTR";#N/A,#N/A,FALSE,"RFG0011000 - P&amp;L QTR"}</definedName>
    <definedName name="wrn.REPORT." hidden="1">{#N/A,#N/A,FALSE,"PAYOUT FAX";#N/A,#N/A,FALSE,"LOANS NOT FUNDED";#N/A,#N/A,FALSE,"CHCKDIGT";#N/A,#N/A,FALSE,"JRNL_ENT"}</definedName>
    <definedName name="wrn.REPORT._.SET." hidden="1">{"PRINTED COLUMNS ONLY",#N/A,FALSE,"PURCHASE FAX";"JE",#N/A,FALSE,"JRNL_ENT"}</definedName>
    <definedName name="wrn.report._.set._.with._.311." hidden="1">{"summary report",#N/A,FALSE,"SUMMARY REPORT";"salary model ytd",#N/A,FALSE,"SALARY MODEL - YTD";"salary model mtd",#N/A,FALSE,"SALARY MODEL - MTD";"detail 311",#N/A,FALSE,"311 ACTUAL"}</definedName>
    <definedName name="wrn.report._.set._.without._.311." hidden="1">{"summary report",#N/A,FALSE,"SUMMARY REPORT";"salary model ytd",#N/A,FALSE,"SALARY MODEL - YTD";"salary model mtd",#N/A,FALSE,"SALARY MODEL - MTD"}</definedName>
    <definedName name="wrn.scorecard."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wrn.scorecard._new" hidden="1">{#N/A,#N/A,TRUE,"T1 PassR by product";#N/A,#N/A,TRUE,"T2 PassR By Channel";#N/A,#N/A,TRUE,"T3A Decision &amp; T3B Funded";#N/A,#N/A,TRUE,"PRECREEN CHANNEL 1998 ONLY";#N/A,#N/A,TRUE,"Approval Exception Distribution";#N/A,#N/A,TRUE,"Approval Exception Rates";#N/A,#N/A,TRUE,"T7Funded Exception Distribution";#N/A,#N/A,TRUE,"T8 Funded Exception Rates";#N/A,#N/A,TRUE,"Exception vs nonexception";#N/A,#N/A,TRUE,"Prelim Decline Adverse Actions";#N/A,#N/A,TRUE,"Final Decline Adverse Actions";#N/A,#N/A,TRUE,"DECLINE REASONS Prelim";#N/A,#N/A,TRUE,"DECLINE REASONS";#N/A,#N/A,TRUE,"Port. and Orig. By State";#N/A,#N/A,TRUE,"Port. and Orig. By Product";#N/A,#N/A,TRUE,"Paidoff by pool";#N/A,#N/A,TRUE,"paidoff by vintage";#N/A,#N/A,TRUE,"Score Migration";#N/A,#N/A,TRUE,"T15_2";#N/A,#N/A,TRUE,"Median Debt Reload";#N/A,#N/A,TRUE,"Accounts Tracked";#N/A,#N/A,TRUE,"Reload by Vintage"}</definedName>
    <definedName name="wrn.SEC._.QUARTERLY._.PROJ." hidden="1">{"Cover Sheet",#N/A,FALSE,"Cover Sheet";"SEC QTRLY INC STMT",#N/A,FALSE,"SEC Quarterlies";"SEC QTRLY BAL SHEET",#N/A,FALSE,"SEC Quarterlies";"SEC QTRLY CASH FLOW",#N/A,FALSE,"SEC Quarterlies";"SEC QTRLY ASSUMPTIONS",#N/A,FALSE,"SEC Quarterlies"}</definedName>
    <definedName name="wrn.Summary." hidden="1">{#N/A,#N/A,FALSE,"INPUT";#N/A,#N/A,FALSE,"P&amp;L";#N/A,#N/A,FALSE,"Graph";#N/A,#N/A,FALSE,"Op Exp By Cost Ctr";#N/A,#N/A,FALSE,"Op Exp Chart"}</definedName>
    <definedName name="wrn.summary._.reports." hidden="1">{#N/A,#N/A,FALSE,"Total Capital Plan";#N/A,#N/A,FALSE,"2000 EDULINX Capital Plan";#N/A,#N/A,FALSE,"1999 EDULINX Capital Plan";#N/A,#N/A,FALSE,"1999 CIBC Funded Capital Plan";#N/A,#N/A,FALSE,"Summary"}</definedName>
    <definedName name="wrn.TOTAL." hidden="1">{"TOTAL",#N/A,FALSE,"Total";"Total East",#N/A,FALSE,"East";"Total Central",#N/A,FALSE,"Central";"Total West",#N/A,FALSE,"West";"NHEC",#N/A,FALSE,"NHEC";"Total Wholesale",#N/A,FALSE,"Wholesale";"Total Credit",#N/A,FALSE,"Credit";"Total Admin",#N/A,FALSE,"Admin"}</definedName>
    <definedName name="wrn.West."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wrn.Wholesale." hidden="1">{"Total Wholesale",#N/A,FALSE,"Wholesale";"Whsle_Admin",#N/A,FALSE,"Wholesale";"Whsle_Lombard",#N/A,FALSE,"Wholesale";"Whsle_Marlton",#N/A,FALSE,"Wholesale";"Whsle_Pleasanton",#N/A,FALSE,"Wholesale"}</definedName>
    <definedName name="Z_61F3E348_5958_11D3_8892_0000832DEAF9_.wvu.PrintTitles" hidden="1">#REF!,#REF!</definedName>
    <definedName name="Z_61F3E349_5958_11D3_8892_0000832DEAF9_.wvu.PrintTitles" hidden="1">#REF!,#REF!</definedName>
    <definedName name="Z_61F3E34B_5958_11D3_8892_0000832DEAF9_.wvu.PrintTitles" hidden="1">#REF!,#REF!</definedName>
    <definedName name="Z_61F3E34C_5958_11D3_8892_0000832DEAF9_.wvu.PrintTitles" hidden="1">#REF!,#REF!</definedName>
    <definedName name="Z_61F3E34E_5958_11D3_8892_0000832DEAF9_.wvu.PrintTitles" hidden="1">#REF!,#REF!</definedName>
    <definedName name="Z_61F3E34F_5958_11D3_8892_0000832DEAF9_.wvu.PrintTitles" hidden="1">#REF!,#REF!</definedName>
    <definedName name="Z_61F3E351_5958_11D3_8892_0000832DEAF9_.wvu.PrintTitles" hidden="1">#REF!,#REF!</definedName>
    <definedName name="Z_61F3E352_5958_11D3_8892_0000832DEAF9_.wvu.PrintTitles" hidden="1">#REF!,#REF!</definedName>
    <definedName name="Z_61F3E355_5958_11D3_8892_0000832DEAF9_.wvu.PrintTitles" hidden="1">#REF!,#REF!</definedName>
    <definedName name="Z_61F3E356_5958_11D3_8892_0000832DEAF9_.wvu.PrintTitles" hidden="1">#REF!,#REF!</definedName>
    <definedName name="Z_61F3E358_5958_11D3_8892_0000832DEAF9_.wvu.PrintTitles" hidden="1">#REF!,#REF!</definedName>
    <definedName name="Z_61F3E359_5958_11D3_8892_0000832DEAF9_.wvu.PrintTitles" hidden="1">#REF!,#REF!</definedName>
    <definedName name="Z_61F3E35B_5958_11D3_8892_0000832DEAF9_.wvu.PrintTitles" hidden="1">#REF!,#REF!</definedName>
    <definedName name="Z_61F3E35C_5958_11D3_8892_0000832DEAF9_.wvu.PrintTitles" hidden="1">#REF!,#REF!</definedName>
    <definedName name="Z_61F3E35E_5958_11D3_8892_0000832DEAF9_.wvu.PrintTitles" hidden="1">#REF!,#REF!</definedName>
    <definedName name="Z_61F3E35F_5958_11D3_8892_0000832DEAF9_.wvu.PrintTitles" hidden="1">#REF!,#REF!</definedName>
    <definedName name="Z_61F3E361_5958_11D3_8892_0000832DEAF9_.wvu.PrintTitles" hidden="1">#REF!,#REF!</definedName>
    <definedName name="Z_61F3E362_5958_11D3_8892_0000832DEAF9_.wvu.PrintTitles" hidden="1">#REF!,#REF!</definedName>
    <definedName name="Z_61F3E364_5958_11D3_8892_0000832DEAF9_.wvu.PrintTitles" hidden="1">#REF!,#REF!</definedName>
    <definedName name="Z_61F3E365_5958_11D3_8892_0000832DEAF9_.wvu.PrintTitles" hidden="1">#REF!,#REF!</definedName>
    <definedName name="Z_87743A9C_80A6_11D3_8889_0000832DEAF9_.wvu.Cols" hidden="1">#REF!,#REF!</definedName>
    <definedName name="Z_87743A9C_80A6_11D3_8889_0000832DEAF9_.wvu.PrintTitles" hidden="1">#REF!,#REF!</definedName>
    <definedName name="Z_87743A9C_80A6_11D3_8889_0000832DEAF9_.wvu.Rows" hidden="1">#REF!,#REF!,#REF!,#REF!,#REF!,#REF!,#REF!</definedName>
    <definedName name="Z_87743A9D_80A6_11D3_8889_0000832DEAF9_.wvu.Cols" hidden="1">#REF!,#REF!</definedName>
    <definedName name="Z_87743A9D_80A6_11D3_8889_0000832DEAF9_.wvu.PrintTitles" hidden="1">#REF!,#REF!</definedName>
    <definedName name="Z_87743A9D_80A6_11D3_8889_0000832DEAF9_.wvu.Rows" hidden="1">#REF!,#REF!,#REF!,#REF!,#REF!,#REF!,#REF!</definedName>
    <definedName name="Z_87743A9E_80A6_11D3_8889_0000832DEAF9_.wvu.Cols" hidden="1">#REF!,#REF!</definedName>
    <definedName name="Z_87743A9E_80A6_11D3_8889_0000832DEAF9_.wvu.PrintTitles" hidden="1">#REF!,#REF!</definedName>
    <definedName name="Z_87743A9E_80A6_11D3_8889_0000832DEAF9_.wvu.Rows" hidden="1">#REF!,#REF!,#REF!,#REF!,#REF!,#REF!,#REF!</definedName>
    <definedName name="Z_87743A9F_80A6_11D3_8889_0000832DEAF9_.wvu.Cols" hidden="1">#REF!,#REF!</definedName>
    <definedName name="Z_87743A9F_80A6_11D3_8889_0000832DEAF9_.wvu.PrintTitles" hidden="1">#REF!,#REF!</definedName>
    <definedName name="Z_87743A9F_80A6_11D3_8889_0000832DEAF9_.wvu.Rows" hidden="1">#REF!,#REF!,#REF!,#REF!,#REF!,#REF!,#REF!</definedName>
    <definedName name="Z_87743AA0_80A6_11D3_8889_0000832DEAF9_.wvu.Cols" hidden="1">#REF!,#REF!</definedName>
    <definedName name="Z_87743AA0_80A6_11D3_8889_0000832DEAF9_.wvu.PrintTitles" hidden="1">#REF!,#REF!</definedName>
    <definedName name="Z_87743AA0_80A6_11D3_8889_0000832DEAF9_.wvu.Rows" hidden="1">#REF!,#REF!,#REF!,#REF!,#REF!,#REF!,#REF!</definedName>
    <definedName name="Z_87743AA1_80A6_11D3_8889_0000832DEAF9_.wvu.Cols" hidden="1">#REF!,#REF!</definedName>
    <definedName name="Z_87743AA1_80A6_11D3_8889_0000832DEAF9_.wvu.PrintTitles" hidden="1">#REF!,#REF!</definedName>
    <definedName name="Z_87743AA1_80A6_11D3_8889_0000832DEAF9_.wvu.Rows" hidden="1">#REF!,#REF!,#REF!,#REF!,#REF!,#REF!,#REF!</definedName>
    <definedName name="Z_87743AA2_80A6_11D3_8889_0000832DEAF9_.wvu.Cols" hidden="1">#REF!,#REF!</definedName>
    <definedName name="Z_87743AA2_80A6_11D3_8889_0000832DEAF9_.wvu.PrintTitles" hidden="1">#REF!,#REF!</definedName>
    <definedName name="Z_87743AA2_80A6_11D3_8889_0000832DEAF9_.wvu.Rows" hidden="1">#REF!,#REF!,#REF!,#REF!,#REF!,#REF!,#REF!</definedName>
    <definedName name="Z_87743AA3_80A6_11D3_8889_0000832DEAF9_.wvu.Cols" hidden="1">#REF!,#REF!</definedName>
    <definedName name="Z_87743AA3_80A6_11D3_8889_0000832DEAF9_.wvu.PrintTitles" hidden="1">#REF!,#REF!</definedName>
    <definedName name="Z_87743AA3_80A6_11D3_8889_0000832DEAF9_.wvu.Rows" hidden="1">#REF!,#REF!,#REF!,#REF!,#REF!,#REF!,#REF!</definedName>
    <definedName name="Z_87743AA4_80A6_11D3_8889_0000832DEAF9_.wvu.Cols" hidden="1">#REF!,#REF!</definedName>
    <definedName name="Z_87743AA4_80A6_11D3_8889_0000832DEAF9_.wvu.PrintTitles" hidden="1">#REF!,#REF!</definedName>
    <definedName name="Z_87743AA4_80A6_11D3_8889_0000832DEAF9_.wvu.Rows" hidden="1">#REF!,#REF!,#REF!,#REF!,#REF!,#REF!,#REF!</definedName>
    <definedName name="Z_87743AA5_80A6_11D3_8889_0000832DEAF9_.wvu.Cols" hidden="1">#REF!,#REF!</definedName>
    <definedName name="Z_87743AA5_80A6_11D3_8889_0000832DEAF9_.wvu.PrintTitles" hidden="1">#REF!,#REF!</definedName>
    <definedName name="Z_87743AA5_80A6_11D3_8889_0000832DEAF9_.wvu.Rows" hidden="1">#REF!,#REF!,#REF!,#REF!,#REF!,#REF!,#REF!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 l="1" a="1"/>
  <c r="D10" i="1"/>
  <c r="I10" i="1" a="1"/>
  <c r="I10" i="1"/>
  <c r="D6" i="1"/>
  <c r="D31" i="1" a="1"/>
  <c r="I32" i="1" a="1"/>
  <c r="I33" i="1" a="1"/>
  <c r="I34" i="1" a="1"/>
  <c r="D32" i="1" a="1"/>
  <c r="D33" i="1" a="1"/>
  <c r="I30" i="1" a="1"/>
  <c r="I31" i="1" a="1"/>
  <c r="D30" i="1" a="1"/>
  <c r="D34" i="1" a="1"/>
  <c r="D35" i="1" a="1"/>
  <c r="I35" i="1" a="1"/>
  <c r="D25" i="1" a="1"/>
  <c r="D21" i="1" a="1"/>
  <c r="D23" i="1" a="1"/>
  <c r="I24" i="1" a="1"/>
  <c r="D20" i="1" a="1"/>
  <c r="I21" i="1" a="1"/>
  <c r="I22" i="1" a="1"/>
  <c r="I20" i="1" a="1"/>
  <c r="D22" i="1" a="1"/>
  <c r="I25" i="1" a="1"/>
  <c r="I23" i="1" a="1"/>
  <c r="D24" i="1" a="1"/>
  <c r="D12" i="1" a="1"/>
  <c r="D15" i="1" a="1"/>
  <c r="D11" i="1" a="1"/>
  <c r="D13" i="1" a="1"/>
  <c r="I12" i="1" a="1"/>
  <c r="I11" i="1" a="1"/>
  <c r="I15" i="1" a="1"/>
  <c r="I13" i="1" a="1"/>
  <c r="I14" i="1" a="1"/>
  <c r="D14" i="1" a="1"/>
  <c r="I35" i="1" l="1"/>
  <c r="D35" i="1"/>
  <c r="D34" i="1"/>
  <c r="D30" i="1"/>
  <c r="I31" i="1"/>
  <c r="I30" i="1"/>
  <c r="D33" i="1"/>
  <c r="D32" i="1"/>
  <c r="I34" i="1"/>
  <c r="I33" i="1"/>
  <c r="I32" i="1"/>
  <c r="D31" i="1"/>
  <c r="D24" i="1"/>
  <c r="I23" i="1"/>
  <c r="I25" i="1"/>
  <c r="D22" i="1"/>
  <c r="I20" i="1"/>
  <c r="I22" i="1"/>
  <c r="I21" i="1"/>
  <c r="D20" i="1"/>
  <c r="I24" i="1"/>
  <c r="D23" i="1"/>
  <c r="D21" i="1"/>
  <c r="D25" i="1"/>
  <c r="D14" i="1"/>
  <c r="I14" i="1"/>
  <c r="I13" i="1"/>
  <c r="I15" i="1"/>
  <c r="I11" i="1"/>
  <c r="I12" i="1"/>
  <c r="D13" i="1"/>
  <c r="D11" i="1"/>
  <c r="D15" i="1"/>
  <c r="D12" i="1"/>
  <c r="F2" i="1"/>
  <c r="BQ30" i="1"/>
  <c r="BQ31" i="1"/>
  <c r="BQ32" i="1"/>
  <c r="BQ33" i="1"/>
  <c r="BQ34" i="1"/>
  <c r="BQ35" i="1"/>
  <c r="BQ20" i="1"/>
  <c r="BQ21" i="1"/>
  <c r="BQ22" i="1"/>
  <c r="BQ23" i="1"/>
  <c r="BQ24" i="1"/>
  <c r="BQ25" i="1"/>
  <c r="BQ11" i="1"/>
  <c r="BQ12" i="1"/>
  <c r="BQ13" i="1"/>
  <c r="BQ14" i="1"/>
  <c r="BQ15" i="1"/>
  <c r="BQ10" i="1"/>
  <c r="BI35" i="1" a="1"/>
  <c r="AS33" i="1" a="1"/>
  <c r="AS32" i="1" a="1"/>
  <c r="AN35" i="1" a="1"/>
  <c r="BG34" i="1" a="1"/>
  <c r="BG31" i="1" a="1"/>
  <c r="BK34" i="1" a="1"/>
  <c r="BI32" i="1" a="1"/>
  <c r="BH35" i="1" a="1"/>
  <c r="BI31" i="1" a="1"/>
  <c r="BK33" i="1" a="1"/>
  <c r="AS31" i="1" a="1"/>
  <c r="BG32" i="1" a="1"/>
  <c r="AS30" i="1" a="1"/>
  <c r="BH32" i="1" a="1"/>
  <c r="BI34" i="1" a="1"/>
  <c r="AN32" i="1" a="1"/>
  <c r="BH31" i="1" a="1"/>
  <c r="BI30" i="1" a="1"/>
  <c r="AS34" i="1" a="1"/>
  <c r="AN31" i="1" a="1"/>
  <c r="BK32" i="1" a="1"/>
  <c r="BK31" i="1" a="1"/>
  <c r="BG33" i="1" a="1"/>
  <c r="BG30" i="1" a="1"/>
  <c r="AN33" i="1" a="1"/>
  <c r="BG35" i="1" a="1"/>
  <c r="AN30" i="1" a="1"/>
  <c r="AS35" i="1" a="1"/>
  <c r="BH34" i="1" a="1"/>
  <c r="BK35" i="1" a="1"/>
  <c r="BI33" i="1" a="1"/>
  <c r="BH33" i="1" a="1"/>
  <c r="AN34" i="1" a="1"/>
  <c r="BH30" i="1" a="1"/>
  <c r="BK30" i="1" a="1"/>
  <c r="BI21" i="1" a="1"/>
  <c r="AS20" i="1" a="1"/>
  <c r="BG24" i="1" a="1"/>
  <c r="BK23" i="1" a="1"/>
  <c r="BK20" i="1" a="1"/>
  <c r="BG23" i="1" a="1"/>
  <c r="BG20" i="1" a="1"/>
  <c r="AN22" i="1" a="1"/>
  <c r="BI25" i="1" a="1"/>
  <c r="BI22" i="1" a="1"/>
  <c r="AS24" i="1" a="1"/>
  <c r="BH23" i="1" a="1"/>
  <c r="BI20" i="1" a="1"/>
  <c r="AN25" i="1" a="1"/>
  <c r="BK24" i="1" a="1"/>
  <c r="BH21" i="1" a="1"/>
  <c r="BG21" i="1" a="1"/>
  <c r="AS22" i="1" a="1"/>
  <c r="AS25" i="1" a="1"/>
  <c r="BK22" i="1" a="1"/>
  <c r="BH20" i="1" a="1"/>
  <c r="AN21" i="1" a="1"/>
  <c r="BH24" i="1" a="1"/>
  <c r="AN23" i="1" a="1"/>
  <c r="AN20" i="1" a="1"/>
  <c r="BI23" i="1" a="1"/>
  <c r="BK21" i="1" a="1"/>
  <c r="BH25" i="1" a="1"/>
  <c r="BG25" i="1" a="1"/>
  <c r="AS21" i="1" a="1"/>
  <c r="BG22" i="1" a="1"/>
  <c r="BI24" i="1" a="1"/>
  <c r="BK25" i="1" a="1"/>
  <c r="BH22" i="1" a="1"/>
  <c r="AN24" i="1" a="1"/>
  <c r="AS23" i="1" a="1"/>
  <c r="BH15" i="1" a="1"/>
  <c r="AS13" i="1" a="1"/>
  <c r="AS15" i="1" a="1"/>
  <c r="BI15" i="1" a="1"/>
  <c r="AN13" i="1" a="1"/>
  <c r="BG15" i="1" a="1"/>
  <c r="BI11" i="1" a="1"/>
  <c r="AS11" i="1" a="1"/>
  <c r="BH11" i="1" a="1"/>
  <c r="AS14" i="1" a="1"/>
  <c r="BK14" i="1" a="1"/>
  <c r="AS12" i="1" a="1"/>
  <c r="BH13" i="1" a="1"/>
  <c r="BI12" i="1" a="1"/>
  <c r="BG12" i="1" a="1"/>
  <c r="BG14" i="1" a="1"/>
  <c r="BH12" i="1" a="1"/>
  <c r="BI14" i="1" a="1"/>
  <c r="BG11" i="1" a="1"/>
  <c r="AN12" i="1" a="1"/>
  <c r="AN15" i="1" a="1"/>
  <c r="AN11" i="1" a="1"/>
  <c r="AN14" i="1" a="1"/>
  <c r="BG13" i="1" a="1"/>
  <c r="BK12" i="1" a="1"/>
  <c r="BK13" i="1" a="1"/>
  <c r="BK11" i="1" a="1"/>
  <c r="BH14" i="1" a="1"/>
  <c r="BK15" i="1" a="1"/>
  <c r="BI13" i="1" a="1"/>
  <c r="G10" i="1" a="1"/>
  <c r="BK10" i="1" a="1"/>
  <c r="BI10" i="1" a="1"/>
  <c r="BH10" i="1" a="1"/>
  <c r="BG10" i="1" a="1"/>
  <c r="BF10" i="1" a="1"/>
  <c r="AS10" i="1" a="1"/>
  <c r="AN10" i="1" a="1"/>
  <c r="K10" i="1" a="1"/>
  <c r="J10" i="1" a="1"/>
  <c r="H10" i="1" a="1"/>
  <c r="AB10" i="1" l="1"/>
  <c r="AB15" i="1"/>
  <c r="AB14" i="1"/>
  <c r="AB13" i="1"/>
  <c r="AB12" i="1"/>
  <c r="AB11" i="1"/>
  <c r="AB25" i="1"/>
  <c r="AB24" i="1"/>
  <c r="AB23" i="1"/>
  <c r="AB22" i="1"/>
  <c r="AB21" i="1"/>
  <c r="AB20" i="1"/>
  <c r="AB35" i="1"/>
  <c r="AB34" i="1"/>
  <c r="AB33" i="1"/>
  <c r="AB32" i="1"/>
  <c r="AB31" i="1"/>
  <c r="AB30" i="1"/>
  <c r="BK30" i="1"/>
  <c r="BH30" i="1"/>
  <c r="AN34" i="1"/>
  <c r="BH33" i="1"/>
  <c r="BI33" i="1"/>
  <c r="BK35" i="1"/>
  <c r="BH34" i="1"/>
  <c r="AS35" i="1"/>
  <c r="AN30" i="1"/>
  <c r="BG35" i="1"/>
  <c r="AN33" i="1"/>
  <c r="BG30" i="1"/>
  <c r="BG33" i="1"/>
  <c r="BK31" i="1"/>
  <c r="BK32" i="1"/>
  <c r="AN31" i="1"/>
  <c r="AS34" i="1"/>
  <c r="BI30" i="1"/>
  <c r="BH31" i="1"/>
  <c r="AN32" i="1"/>
  <c r="BI34" i="1"/>
  <c r="BH32" i="1"/>
  <c r="AS30" i="1"/>
  <c r="BG32" i="1"/>
  <c r="AS31" i="1"/>
  <c r="BK33" i="1"/>
  <c r="BI31" i="1"/>
  <c r="BH35" i="1"/>
  <c r="BI32" i="1"/>
  <c r="BK34" i="1"/>
  <c r="BG31" i="1"/>
  <c r="BG34" i="1"/>
  <c r="AN35" i="1"/>
  <c r="AS32" i="1"/>
  <c r="AS33" i="1"/>
  <c r="BI35" i="1"/>
  <c r="AS23" i="1"/>
  <c r="AN24" i="1"/>
  <c r="BH22" i="1"/>
  <c r="BK25" i="1"/>
  <c r="BI24" i="1"/>
  <c r="BG22" i="1"/>
  <c r="AS21" i="1"/>
  <c r="BG25" i="1"/>
  <c r="BH25" i="1"/>
  <c r="BK21" i="1"/>
  <c r="BI23" i="1"/>
  <c r="AN20" i="1"/>
  <c r="AN23" i="1"/>
  <c r="BH24" i="1"/>
  <c r="AN21" i="1"/>
  <c r="BH20" i="1"/>
  <c r="BK22" i="1"/>
  <c r="AS25" i="1"/>
  <c r="AS22" i="1"/>
  <c r="BG21" i="1"/>
  <c r="BH21" i="1"/>
  <c r="BK24" i="1"/>
  <c r="AN25" i="1"/>
  <c r="BI20" i="1"/>
  <c r="BH23" i="1"/>
  <c r="AS24" i="1"/>
  <c r="AF24" i="1" s="1"/>
  <c r="BI22" i="1"/>
  <c r="BI25" i="1"/>
  <c r="AN22" i="1"/>
  <c r="BG20" i="1"/>
  <c r="BG23" i="1"/>
  <c r="BK20" i="1"/>
  <c r="BK23" i="1"/>
  <c r="BG24" i="1"/>
  <c r="AS20" i="1"/>
  <c r="BI21" i="1"/>
  <c r="BI13" i="1"/>
  <c r="BK15" i="1"/>
  <c r="BH14" i="1"/>
  <c r="BK11" i="1"/>
  <c r="BK13" i="1"/>
  <c r="BK12" i="1"/>
  <c r="BG13" i="1"/>
  <c r="AN14" i="1"/>
  <c r="AN11" i="1"/>
  <c r="AN15" i="1"/>
  <c r="AN12" i="1"/>
  <c r="BG11" i="1"/>
  <c r="BI14" i="1"/>
  <c r="BH12" i="1"/>
  <c r="BG14" i="1"/>
  <c r="BG12" i="1"/>
  <c r="BI12" i="1"/>
  <c r="BH13" i="1"/>
  <c r="AS12" i="1"/>
  <c r="BK14" i="1"/>
  <c r="AS14" i="1"/>
  <c r="BH11" i="1"/>
  <c r="AS11" i="1"/>
  <c r="BI11" i="1"/>
  <c r="BG15" i="1"/>
  <c r="AN13" i="1"/>
  <c r="BI15" i="1"/>
  <c r="AS15" i="1"/>
  <c r="AS13" i="1"/>
  <c r="AF13" i="1" s="1"/>
  <c r="BH15" i="1"/>
  <c r="G10" i="1"/>
  <c r="H10" i="1"/>
  <c r="J10" i="1"/>
  <c r="K10" i="1"/>
  <c r="AN10" i="1"/>
  <c r="AS10" i="1"/>
  <c r="BF10" i="1"/>
  <c r="BG10" i="1"/>
  <c r="BH10" i="1"/>
  <c r="BI10" i="1"/>
  <c r="BK10" i="1"/>
  <c r="BF32" i="1" a="1"/>
  <c r="G32" i="1" a="1"/>
  <c r="BF30" i="1" a="1"/>
  <c r="H33" i="1" a="1"/>
  <c r="H32" i="1" a="1"/>
  <c r="H31" i="1" a="1"/>
  <c r="K32" i="1" a="1"/>
  <c r="J32" i="1" a="1"/>
  <c r="BF34" i="1" a="1"/>
  <c r="G33" i="1" a="1"/>
  <c r="BF35" i="1" a="1"/>
  <c r="G34" i="1" a="1"/>
  <c r="K30" i="1" a="1"/>
  <c r="H34" i="1" a="1"/>
  <c r="H35" i="1" a="1"/>
  <c r="G30" i="1" a="1"/>
  <c r="BF31" i="1" a="1"/>
  <c r="J30" i="1" a="1"/>
  <c r="K34" i="1" a="1"/>
  <c r="BF33" i="1" a="1"/>
  <c r="K31" i="1" a="1"/>
  <c r="J35" i="1" a="1"/>
  <c r="J33" i="1" a="1"/>
  <c r="K33" i="1" a="1"/>
  <c r="G31" i="1" a="1"/>
  <c r="J31" i="1" a="1"/>
  <c r="K35" i="1" a="1"/>
  <c r="H30" i="1" a="1"/>
  <c r="J34" i="1" a="1"/>
  <c r="G35" i="1" a="1"/>
  <c r="G20" i="1" a="1"/>
  <c r="G23" i="1" a="1"/>
  <c r="BF22" i="1" a="1"/>
  <c r="G21" i="1" a="1"/>
  <c r="H21" i="1" a="1"/>
  <c r="H25" i="1" a="1"/>
  <c r="BF23" i="1" a="1"/>
  <c r="H22" i="1" a="1"/>
  <c r="H23" i="1" a="1"/>
  <c r="K25" i="1" a="1"/>
  <c r="G24" i="1" a="1"/>
  <c r="G22" i="1" a="1"/>
  <c r="K23" i="1" a="1"/>
  <c r="BF20" i="1" a="1"/>
  <c r="K21" i="1" a="1"/>
  <c r="K20" i="1" a="1"/>
  <c r="K24" i="1" a="1"/>
  <c r="J21" i="1" a="1"/>
  <c r="BF21" i="1" a="1"/>
  <c r="K22" i="1" a="1"/>
  <c r="G25" i="1" a="1"/>
  <c r="H24" i="1" a="1"/>
  <c r="H20" i="1" a="1"/>
  <c r="J24" i="1" a="1"/>
  <c r="J23" i="1" a="1"/>
  <c r="BF24" i="1" a="1"/>
  <c r="J20" i="1" a="1"/>
  <c r="BF25" i="1" a="1"/>
  <c r="J22" i="1" a="1"/>
  <c r="J25" i="1" a="1"/>
  <c r="J11" i="1" a="1"/>
  <c r="H12" i="1" a="1"/>
  <c r="J13" i="1" a="1"/>
  <c r="G14" i="1" a="1"/>
  <c r="BF11" i="1" a="1"/>
  <c r="BF12" i="1" a="1"/>
  <c r="G13" i="1" a="1"/>
  <c r="G15" i="1" a="1"/>
  <c r="J15" i="1" a="1"/>
  <c r="H14" i="1" a="1"/>
  <c r="BF13" i="1" a="1"/>
  <c r="K14" i="1" a="1"/>
  <c r="H15" i="1" a="1"/>
  <c r="K15" i="1" a="1"/>
  <c r="G11" i="1" a="1"/>
  <c r="K11" i="1" a="1"/>
  <c r="H11" i="1" a="1"/>
  <c r="BF14" i="1" a="1"/>
  <c r="BF15" i="1" a="1"/>
  <c r="G12" i="1" a="1"/>
  <c r="J14" i="1" a="1"/>
  <c r="K12" i="1" a="1"/>
  <c r="H13" i="1" a="1"/>
  <c r="J12" i="1" a="1"/>
  <c r="K13" i="1" a="1"/>
  <c r="AB37" i="1" l="1"/>
  <c r="AF10" i="1"/>
  <c r="AF20" i="1"/>
  <c r="AF12" i="1"/>
  <c r="AF35" i="1"/>
  <c r="AF31" i="1"/>
  <c r="AF30" i="1"/>
  <c r="AF21" i="1"/>
  <c r="AF15" i="1"/>
  <c r="AF23" i="1"/>
  <c r="AF34" i="1"/>
  <c r="AF11" i="1"/>
  <c r="AF22" i="1"/>
  <c r="AF33" i="1"/>
  <c r="AF25" i="1"/>
  <c r="AF32" i="1"/>
  <c r="AF14" i="1"/>
  <c r="AB40" i="1"/>
  <c r="AB41" i="1"/>
  <c r="AB39" i="1"/>
  <c r="AB27" i="1"/>
  <c r="AB17" i="1"/>
  <c r="BJ23" i="1"/>
  <c r="BJ34" i="1"/>
  <c r="BJ32" i="1"/>
  <c r="G35" i="1"/>
  <c r="J34" i="1"/>
  <c r="H30" i="1"/>
  <c r="K35" i="1"/>
  <c r="J31" i="1"/>
  <c r="G31" i="1"/>
  <c r="K33" i="1"/>
  <c r="J33" i="1"/>
  <c r="J35" i="1"/>
  <c r="K31" i="1"/>
  <c r="BF33" i="1"/>
  <c r="K34" i="1"/>
  <c r="J30" i="1"/>
  <c r="BF31" i="1"/>
  <c r="G30" i="1"/>
  <c r="H35" i="1"/>
  <c r="H34" i="1"/>
  <c r="K30" i="1"/>
  <c r="G34" i="1"/>
  <c r="BF35" i="1"/>
  <c r="G33" i="1"/>
  <c r="BF34" i="1"/>
  <c r="J32" i="1"/>
  <c r="K32" i="1"/>
  <c r="H31" i="1"/>
  <c r="H32" i="1"/>
  <c r="H33" i="1"/>
  <c r="BF30" i="1"/>
  <c r="G32" i="1"/>
  <c r="BF32" i="1"/>
  <c r="BJ33" i="1"/>
  <c r="BJ30" i="1"/>
  <c r="BJ35" i="1"/>
  <c r="BJ31" i="1"/>
  <c r="BJ24" i="1"/>
  <c r="J25" i="1"/>
  <c r="J22" i="1"/>
  <c r="BF25" i="1"/>
  <c r="J20" i="1"/>
  <c r="BF24" i="1"/>
  <c r="J23" i="1"/>
  <c r="J24" i="1"/>
  <c r="H20" i="1"/>
  <c r="H24" i="1"/>
  <c r="G25" i="1"/>
  <c r="K22" i="1"/>
  <c r="BF21" i="1"/>
  <c r="J21" i="1"/>
  <c r="K24" i="1"/>
  <c r="K20" i="1"/>
  <c r="K21" i="1"/>
  <c r="BF20" i="1"/>
  <c r="K23" i="1"/>
  <c r="G22" i="1"/>
  <c r="G24" i="1"/>
  <c r="K25" i="1"/>
  <c r="H23" i="1"/>
  <c r="H22" i="1"/>
  <c r="BF23" i="1"/>
  <c r="H25" i="1"/>
  <c r="H21" i="1"/>
  <c r="G21" i="1"/>
  <c r="BF22" i="1"/>
  <c r="G23" i="1"/>
  <c r="G20" i="1"/>
  <c r="BJ13" i="1"/>
  <c r="BJ14" i="1"/>
  <c r="K13" i="1"/>
  <c r="J12" i="1"/>
  <c r="H13" i="1"/>
  <c r="K12" i="1"/>
  <c r="L12" i="1" s="1"/>
  <c r="J14" i="1"/>
  <c r="G12" i="1"/>
  <c r="BF15" i="1"/>
  <c r="BF14" i="1"/>
  <c r="H11" i="1"/>
  <c r="K11" i="1"/>
  <c r="G11" i="1"/>
  <c r="K15" i="1"/>
  <c r="H15" i="1"/>
  <c r="K14" i="1"/>
  <c r="BF13" i="1"/>
  <c r="H14" i="1"/>
  <c r="J15" i="1"/>
  <c r="G15" i="1"/>
  <c r="G13" i="1"/>
  <c r="BF12" i="1"/>
  <c r="BF11" i="1"/>
  <c r="G14" i="1"/>
  <c r="J13" i="1"/>
  <c r="H12" i="1"/>
  <c r="J11" i="1"/>
  <c r="BJ12" i="1"/>
  <c r="AF37" i="1" l="1"/>
  <c r="AF17" i="1"/>
  <c r="AF39" i="1"/>
  <c r="AF41" i="1"/>
  <c r="AF27" i="1"/>
  <c r="AF40" i="1"/>
  <c r="L33" i="1"/>
  <c r="P33" i="1"/>
  <c r="P30" i="1"/>
  <c r="L30" i="1"/>
  <c r="L34" i="1"/>
  <c r="P34" i="1"/>
  <c r="L32" i="1"/>
  <c r="P32" i="1"/>
  <c r="L31" i="1"/>
  <c r="P31" i="1"/>
  <c r="P35" i="1"/>
  <c r="L35" i="1"/>
  <c r="P23" i="1"/>
  <c r="L23" i="1"/>
  <c r="P24" i="1"/>
  <c r="L24" i="1"/>
  <c r="L14" i="1"/>
  <c r="P14" i="1"/>
  <c r="P13" i="1"/>
  <c r="L13" i="1"/>
  <c r="P12" i="1"/>
  <c r="P37" i="1" l="1"/>
  <c r="L37" i="1"/>
  <c r="L10" i="1" l="1"/>
  <c r="P10" i="1"/>
  <c r="L11" i="1" l="1"/>
  <c r="P11" i="1"/>
  <c r="L15" i="1" l="1"/>
  <c r="L17" i="1" s="1"/>
  <c r="P15" i="1"/>
  <c r="P17" i="1" l="1"/>
  <c r="L20" i="1" l="1"/>
  <c r="P20" i="1"/>
  <c r="L21" i="1" l="1"/>
  <c r="P21" i="1"/>
  <c r="L22" i="1" l="1"/>
  <c r="P22" i="1"/>
  <c r="L25" i="1" l="1"/>
  <c r="L39" i="1" s="1"/>
  <c r="P25" i="1"/>
  <c r="P39" i="1" s="1"/>
  <c r="L41" i="1" l="1"/>
  <c r="P41" i="1"/>
  <c r="L27" i="1"/>
  <c r="L40" i="1"/>
  <c r="P40" i="1"/>
  <c r="P27" i="1"/>
  <c r="G7" i="1" l="1"/>
  <c r="H7" i="1"/>
  <c r="AO7" i="1"/>
  <c r="AO10" i="1" a="1"/>
  <c r="AO11" i="1" a="1"/>
  <c r="AO13" i="1" a="1"/>
  <c r="AO12" i="1" a="1"/>
  <c r="AO14" i="1" a="1"/>
  <c r="AO15" i="1" a="1"/>
  <c r="AO21" i="1" a="1"/>
  <c r="AO24" i="1" a="1"/>
  <c r="AO22" i="1" a="1"/>
  <c r="AO25" i="1" a="1"/>
  <c r="AO20" i="1" a="1"/>
  <c r="AO23" i="1" a="1"/>
  <c r="AO31" i="1" a="1"/>
  <c r="AO35" i="1" a="1"/>
  <c r="AO33" i="1" a="1"/>
  <c r="AO34" i="1" a="1"/>
  <c r="AO32" i="1" a="1"/>
  <c r="AO30" i="1" a="1"/>
  <c r="AO30" i="1" l="1"/>
  <c r="AO32" i="1"/>
  <c r="AO34" i="1"/>
  <c r="AO33" i="1"/>
  <c r="AO35" i="1"/>
  <c r="AO31" i="1"/>
  <c r="AO23" i="1"/>
  <c r="AO20" i="1"/>
  <c r="AO25" i="1"/>
  <c r="AO22" i="1"/>
  <c r="AO24" i="1"/>
  <c r="AO21" i="1"/>
  <c r="AO15" i="1"/>
  <c r="AO14" i="1"/>
  <c r="AO12" i="1"/>
  <c r="AO13" i="1"/>
  <c r="AO11" i="1"/>
  <c r="AO10" i="1"/>
  <c r="BJ11" i="1"/>
  <c r="BM7" i="1"/>
  <c r="BB7" i="1"/>
  <c r="AT7" i="1"/>
  <c r="CD7" i="1"/>
  <c r="BV7" i="1"/>
  <c r="BR7" i="1"/>
  <c r="AX7" i="1"/>
  <c r="AP7" i="1"/>
  <c r="BZ7" i="1"/>
  <c r="BJ10" i="1"/>
  <c r="BJ25" i="1"/>
  <c r="BJ22" i="1"/>
  <c r="BJ21" i="1"/>
  <c r="BJ15" i="1"/>
  <c r="M7" i="1"/>
  <c r="BB10" i="1" a="1"/>
  <c r="BB11" i="1" a="1"/>
  <c r="BB12" i="1" a="1"/>
  <c r="BB13" i="1" a="1"/>
  <c r="BB15" i="1" a="1"/>
  <c r="BB14" i="1" a="1"/>
  <c r="BB23" i="1" a="1"/>
  <c r="BB20" i="1" a="1"/>
  <c r="BB25" i="1" a="1"/>
  <c r="BB21" i="1" a="1"/>
  <c r="BB22" i="1" a="1"/>
  <c r="BB24" i="1" a="1"/>
  <c r="BB34" i="1" a="1"/>
  <c r="BB31" i="1" a="1"/>
  <c r="BB32" i="1" a="1"/>
  <c r="BB33" i="1" a="1"/>
  <c r="BB35" i="1" a="1"/>
  <c r="BB30" i="1" a="1"/>
  <c r="AP10" i="1" a="1"/>
  <c r="AP14" i="1" a="1"/>
  <c r="AP11" i="1" a="1"/>
  <c r="AP15" i="1" a="1"/>
  <c r="AP12" i="1" a="1"/>
  <c r="AP13" i="1" a="1"/>
  <c r="AP22" i="1" a="1"/>
  <c r="AP23" i="1" a="1"/>
  <c r="AP25" i="1" a="1"/>
  <c r="AP20" i="1" a="1"/>
  <c r="AP21" i="1" a="1"/>
  <c r="AP24" i="1" a="1"/>
  <c r="AP33" i="1" a="1"/>
  <c r="AP32" i="1" a="1"/>
  <c r="AP35" i="1" a="1"/>
  <c r="AP30" i="1" a="1"/>
  <c r="AP31" i="1" a="1"/>
  <c r="AP34" i="1" a="1"/>
  <c r="AT10" i="1" a="1"/>
  <c r="AT13" i="1" a="1"/>
  <c r="AT11" i="1" a="1"/>
  <c r="AT15" i="1" a="1"/>
  <c r="AT12" i="1" a="1"/>
  <c r="AT14" i="1" a="1"/>
  <c r="AT20" i="1" a="1"/>
  <c r="AT23" i="1" a="1"/>
  <c r="AT22" i="1" a="1"/>
  <c r="AT25" i="1" a="1"/>
  <c r="AT21" i="1" a="1"/>
  <c r="AT24" i="1" a="1"/>
  <c r="AT31" i="1" a="1"/>
  <c r="AT33" i="1" a="1"/>
  <c r="AT34" i="1" a="1"/>
  <c r="AT32" i="1" a="1"/>
  <c r="AT35" i="1" a="1"/>
  <c r="AT30" i="1" a="1"/>
  <c r="BV10" i="1" a="1"/>
  <c r="BV12" i="1" a="1"/>
  <c r="BV13" i="1" a="1"/>
  <c r="BV14" i="1" a="1"/>
  <c r="BV11" i="1" a="1"/>
  <c r="BV15" i="1" a="1"/>
  <c r="BV23" i="1" a="1"/>
  <c r="BV24" i="1" a="1"/>
  <c r="BV21" i="1" a="1"/>
  <c r="BV25" i="1" a="1"/>
  <c r="BV22" i="1" a="1"/>
  <c r="BV20" i="1" a="1"/>
  <c r="BV33" i="1" a="1"/>
  <c r="BV31" i="1" a="1"/>
  <c r="BV32" i="1" a="1"/>
  <c r="BV35" i="1" a="1"/>
  <c r="BV30" i="1" a="1"/>
  <c r="BV34" i="1" a="1"/>
  <c r="BR10" i="1"/>
  <c r="BR12" i="1"/>
  <c r="BR14" i="1"/>
  <c r="BR11" i="1"/>
  <c r="BR15" i="1"/>
  <c r="BR13" i="1"/>
  <c r="BR21" i="1"/>
  <c r="BR24" i="1"/>
  <c r="BR20" i="1"/>
  <c r="BR23" i="1"/>
  <c r="BR25" i="1"/>
  <c r="BR22" i="1"/>
  <c r="BR34" i="1"/>
  <c r="BR33" i="1"/>
  <c r="BR35" i="1"/>
  <c r="BR32" i="1"/>
  <c r="BR30" i="1"/>
  <c r="BR31" i="1"/>
  <c r="AX10" i="1" a="1"/>
  <c r="AX14" i="1" a="1"/>
  <c r="AX15" i="1" a="1"/>
  <c r="AX12" i="1" a="1"/>
  <c r="AX11" i="1" a="1"/>
  <c r="AX13" i="1" a="1"/>
  <c r="AX22" i="1" a="1"/>
  <c r="AX20" i="1" a="1"/>
  <c r="AX24" i="1" a="1"/>
  <c r="AX23" i="1" a="1"/>
  <c r="AX21" i="1" a="1"/>
  <c r="AX25" i="1" a="1"/>
  <c r="AX33" i="1" a="1"/>
  <c r="AX31" i="1" a="1"/>
  <c r="AX35" i="1" a="1"/>
  <c r="AX30" i="1" a="1"/>
  <c r="AX34" i="1" a="1"/>
  <c r="AX32" i="1" a="1"/>
  <c r="AX32" i="1" l="1"/>
  <c r="V32" i="1" s="1"/>
  <c r="AX34" i="1"/>
  <c r="V34" i="1" s="1"/>
  <c r="AX30" i="1"/>
  <c r="V30" i="1" s="1"/>
  <c r="AX35" i="1"/>
  <c r="V35" i="1" s="1"/>
  <c r="AX31" i="1"/>
  <c r="V31" i="1" s="1"/>
  <c r="AX33" i="1"/>
  <c r="V33" i="1" s="1"/>
  <c r="AX25" i="1"/>
  <c r="V25" i="1" s="1"/>
  <c r="AX21" i="1"/>
  <c r="V21" i="1" s="1"/>
  <c r="AX23" i="1"/>
  <c r="V23" i="1" s="1"/>
  <c r="AX24" i="1"/>
  <c r="V24" i="1" s="1"/>
  <c r="AX20" i="1"/>
  <c r="V20" i="1" s="1"/>
  <c r="AX22" i="1"/>
  <c r="V22" i="1" s="1"/>
  <c r="AX13" i="1"/>
  <c r="V13" i="1" s="1"/>
  <c r="AX11" i="1"/>
  <c r="V11" i="1" s="1"/>
  <c r="AX12" i="1"/>
  <c r="V12" i="1" s="1"/>
  <c r="AX15" i="1"/>
  <c r="V15" i="1" s="1"/>
  <c r="AX14" i="1"/>
  <c r="V14" i="1" s="1"/>
  <c r="AX10" i="1"/>
  <c r="V10" i="1" s="1"/>
  <c r="AC31" i="1"/>
  <c r="CD31" i="1"/>
  <c r="BZ31" i="1" s="1"/>
  <c r="AC30" i="1"/>
  <c r="CD30" i="1"/>
  <c r="BZ30" i="1" s="1"/>
  <c r="AC32" i="1"/>
  <c r="CD32" i="1"/>
  <c r="BZ32" i="1" s="1"/>
  <c r="AC35" i="1"/>
  <c r="CD35" i="1"/>
  <c r="BZ35" i="1" s="1"/>
  <c r="AC33" i="1"/>
  <c r="CD33" i="1"/>
  <c r="BZ33" i="1" s="1"/>
  <c r="AC34" i="1"/>
  <c r="CD34" i="1"/>
  <c r="BZ34" i="1" s="1"/>
  <c r="AC22" i="1"/>
  <c r="AC25" i="1"/>
  <c r="AC23" i="1"/>
  <c r="CD23" i="1"/>
  <c r="BZ23" i="1" s="1"/>
  <c r="AC20" i="1"/>
  <c r="AC24" i="1"/>
  <c r="CD24" i="1"/>
  <c r="BZ24" i="1" s="1"/>
  <c r="AC21" i="1"/>
  <c r="AC13" i="1"/>
  <c r="CD13" i="1"/>
  <c r="BZ13" i="1" s="1"/>
  <c r="AC15" i="1"/>
  <c r="AC11" i="1"/>
  <c r="AC14" i="1"/>
  <c r="CD14" i="1"/>
  <c r="BZ14" i="1" s="1"/>
  <c r="AC12" i="1"/>
  <c r="AC10" i="1"/>
  <c r="BV34" i="1"/>
  <c r="BV30" i="1"/>
  <c r="BV35" i="1"/>
  <c r="BV32" i="1"/>
  <c r="BV31" i="1"/>
  <c r="BV33" i="1"/>
  <c r="BV20" i="1"/>
  <c r="BV22" i="1"/>
  <c r="BV25" i="1"/>
  <c r="BV21" i="1"/>
  <c r="BV24" i="1"/>
  <c r="BV23" i="1"/>
  <c r="BV15" i="1"/>
  <c r="BV11" i="1"/>
  <c r="BV14" i="1"/>
  <c r="BV13" i="1"/>
  <c r="BV12" i="1"/>
  <c r="BV10" i="1"/>
  <c r="AT30" i="1"/>
  <c r="AJ30" i="1" s="1"/>
  <c r="AT35" i="1"/>
  <c r="AJ35" i="1" s="1"/>
  <c r="AT32" i="1"/>
  <c r="AJ32" i="1" s="1"/>
  <c r="AT34" i="1"/>
  <c r="AJ34" i="1" s="1"/>
  <c r="AT33" i="1"/>
  <c r="AJ33" i="1" s="1"/>
  <c r="AT31" i="1"/>
  <c r="AJ31" i="1" s="1"/>
  <c r="AT24" i="1"/>
  <c r="AJ24" i="1" s="1"/>
  <c r="AT21" i="1"/>
  <c r="AG21" i="1" s="1"/>
  <c r="AT25" i="1"/>
  <c r="AG25" i="1" s="1"/>
  <c r="AT22" i="1"/>
  <c r="AG22" i="1" s="1"/>
  <c r="AT23" i="1"/>
  <c r="AJ23" i="1" s="1"/>
  <c r="AT20" i="1"/>
  <c r="AG20" i="1" s="1"/>
  <c r="AT14" i="1"/>
  <c r="AJ14" i="1" s="1"/>
  <c r="AT12" i="1"/>
  <c r="AJ12" i="1" s="1"/>
  <c r="AT15" i="1"/>
  <c r="AG15" i="1" s="1"/>
  <c r="AT11" i="1"/>
  <c r="AG11" i="1" s="1"/>
  <c r="AT13" i="1"/>
  <c r="AJ13" i="1" s="1"/>
  <c r="AT10" i="1"/>
  <c r="AG10" i="1" s="1"/>
  <c r="AP34" i="1"/>
  <c r="AP31" i="1"/>
  <c r="AP30" i="1"/>
  <c r="AP35" i="1"/>
  <c r="AP32" i="1"/>
  <c r="AP33" i="1"/>
  <c r="AP24" i="1"/>
  <c r="AP21" i="1"/>
  <c r="N21" i="1" s="1"/>
  <c r="AP20" i="1"/>
  <c r="T20" i="1" s="1"/>
  <c r="AP25" i="1"/>
  <c r="N25" i="1" s="1"/>
  <c r="AP23" i="1"/>
  <c r="AP22" i="1"/>
  <c r="N22" i="1" s="1"/>
  <c r="AP13" i="1"/>
  <c r="AP12" i="1"/>
  <c r="AP15" i="1"/>
  <c r="N15" i="1" s="1"/>
  <c r="AP11" i="1"/>
  <c r="N11" i="1" s="1"/>
  <c r="AP14" i="1"/>
  <c r="AP10" i="1"/>
  <c r="N10" i="1" s="1"/>
  <c r="BB30" i="1"/>
  <c r="Y30" i="1" s="1"/>
  <c r="BB35" i="1"/>
  <c r="Y35" i="1" s="1"/>
  <c r="BB33" i="1"/>
  <c r="Y33" i="1" s="1"/>
  <c r="BB32" i="1"/>
  <c r="Y32" i="1" s="1"/>
  <c r="BB31" i="1"/>
  <c r="Y31" i="1" s="1"/>
  <c r="BB34" i="1"/>
  <c r="Y34" i="1" s="1"/>
  <c r="BB24" i="1"/>
  <c r="Y24" i="1" s="1"/>
  <c r="BB22" i="1"/>
  <c r="Y22" i="1" s="1"/>
  <c r="BB21" i="1"/>
  <c r="Y21" i="1" s="1"/>
  <c r="BB25" i="1"/>
  <c r="Y25" i="1" s="1"/>
  <c r="BB20" i="1"/>
  <c r="Y20" i="1" s="1"/>
  <c r="BB23" i="1"/>
  <c r="Y23" i="1" s="1"/>
  <c r="BB14" i="1"/>
  <c r="Y14" i="1" s="1"/>
  <c r="BB15" i="1"/>
  <c r="Y15" i="1" s="1"/>
  <c r="BB13" i="1"/>
  <c r="Y13" i="1" s="1"/>
  <c r="BB12" i="1"/>
  <c r="Y12" i="1" s="1"/>
  <c r="BB11" i="1"/>
  <c r="Y11" i="1" s="1"/>
  <c r="BB10" i="1"/>
  <c r="Y10" i="1" s="1"/>
  <c r="BM13" i="1"/>
  <c r="M13" i="1"/>
  <c r="BM14" i="1"/>
  <c r="M14" i="1"/>
  <c r="BM24" i="1"/>
  <c r="M24" i="1"/>
  <c r="BM34" i="1"/>
  <c r="M34" i="1"/>
  <c r="BM32" i="1"/>
  <c r="M32" i="1"/>
  <c r="BM23" i="1"/>
  <c r="M23" i="1"/>
  <c r="BM31" i="1"/>
  <c r="M31" i="1"/>
  <c r="BM35" i="1"/>
  <c r="M35" i="1"/>
  <c r="BM33" i="1"/>
  <c r="M33" i="1"/>
  <c r="BM30" i="1"/>
  <c r="M30" i="1"/>
  <c r="CD12" i="1"/>
  <c r="BZ12" i="1" s="1"/>
  <c r="BM12" i="1"/>
  <c r="M12" i="1"/>
  <c r="BM11" i="1"/>
  <c r="M11" i="1"/>
  <c r="CD11" i="1"/>
  <c r="BZ11" i="1" s="1"/>
  <c r="BN7" i="1"/>
  <c r="BM21" i="1"/>
  <c r="BM15" i="1"/>
  <c r="BM20" i="1"/>
  <c r="CD20" i="1"/>
  <c r="BZ20" i="1" s="1"/>
  <c r="CD25" i="1"/>
  <c r="BZ25" i="1" s="1"/>
  <c r="BM25" i="1"/>
  <c r="BM10" i="1"/>
  <c r="BM22" i="1"/>
  <c r="N7" i="1"/>
  <c r="AK7" i="1" s="1"/>
  <c r="AQ7" i="1"/>
  <c r="BW7" i="1"/>
  <c r="AU7" i="1"/>
  <c r="CE7" i="1"/>
  <c r="BC7" i="1"/>
  <c r="CA7" i="1"/>
  <c r="AY7" i="1"/>
  <c r="BS7" i="1"/>
  <c r="M21" i="1"/>
  <c r="Y7" i="1"/>
  <c r="AC7" i="1"/>
  <c r="AJ7" i="1"/>
  <c r="Q7" i="1"/>
  <c r="AG7" i="1"/>
  <c r="V7" i="1"/>
  <c r="CD22" i="1"/>
  <c r="BZ22" i="1" s="1"/>
  <c r="CD21" i="1"/>
  <c r="BZ21" i="1" s="1"/>
  <c r="M10" i="1"/>
  <c r="M22" i="1"/>
  <c r="M20" i="1"/>
  <c r="CD10" i="1"/>
  <c r="BZ10" i="1" s="1"/>
  <c r="BJ20" i="1"/>
  <c r="CD15" i="1"/>
  <c r="BZ15" i="1" s="1"/>
  <c r="M15" i="1"/>
  <c r="M25" i="1"/>
  <c r="BW10" i="1" a="1"/>
  <c r="BW15" i="1" a="1"/>
  <c r="BW12" i="1" a="1"/>
  <c r="BW13" i="1" a="1"/>
  <c r="BW14" i="1" a="1"/>
  <c r="BW11" i="1" a="1"/>
  <c r="BW20" i="1" a="1"/>
  <c r="BW24" i="1" a="1"/>
  <c r="BW21" i="1" a="1"/>
  <c r="BW22" i="1" a="1"/>
  <c r="BW25" i="1" a="1"/>
  <c r="BW23" i="1" a="1"/>
  <c r="BW33" i="1" a="1"/>
  <c r="BW30" i="1" a="1"/>
  <c r="BW34" i="1" a="1"/>
  <c r="BW35" i="1" a="1"/>
  <c r="BW31" i="1" a="1"/>
  <c r="BW32" i="1" a="1"/>
  <c r="AU10" i="1" a="1"/>
  <c r="AU11" i="1" a="1"/>
  <c r="AU15" i="1" a="1"/>
  <c r="AU13" i="1" a="1"/>
  <c r="AU12" i="1" a="1"/>
  <c r="AU14" i="1" a="1"/>
  <c r="AU20" i="1" a="1"/>
  <c r="AU24" i="1" a="1"/>
  <c r="AU23" i="1" a="1"/>
  <c r="AU21" i="1" a="1"/>
  <c r="AU22" i="1" a="1"/>
  <c r="AU25" i="1" a="1"/>
  <c r="AU30" i="1" a="1"/>
  <c r="AU33" i="1" a="1"/>
  <c r="AU32" i="1" a="1"/>
  <c r="AU31" i="1" a="1"/>
  <c r="AU34" i="1" a="1"/>
  <c r="AU35" i="1" a="1"/>
  <c r="BC10" i="1" a="1"/>
  <c r="BC12" i="1" a="1"/>
  <c r="BC11" i="1" a="1"/>
  <c r="BC15" i="1" a="1"/>
  <c r="BC13" i="1" a="1"/>
  <c r="BC14" i="1" a="1"/>
  <c r="BC21" i="1" a="1"/>
  <c r="BC25" i="1" a="1"/>
  <c r="BC20" i="1" a="1"/>
  <c r="BC24" i="1" a="1"/>
  <c r="BC22" i="1" a="1"/>
  <c r="BC23" i="1" a="1"/>
  <c r="BC32" i="1" a="1"/>
  <c r="BC33" i="1" a="1"/>
  <c r="BC34" i="1" a="1"/>
  <c r="BC30" i="1" a="1"/>
  <c r="BC31" i="1" a="1"/>
  <c r="BC35" i="1" a="1"/>
  <c r="AY10" i="1" a="1"/>
  <c r="AY11" i="1" a="1"/>
  <c r="AY15" i="1" a="1"/>
  <c r="AY12" i="1" a="1"/>
  <c r="AY14" i="1" a="1"/>
  <c r="AY13" i="1" a="1"/>
  <c r="AY20" i="1" a="1"/>
  <c r="AY24" i="1" a="1"/>
  <c r="AY22" i="1" a="1"/>
  <c r="AY25" i="1" a="1"/>
  <c r="AY21" i="1" a="1"/>
  <c r="AY23" i="1" a="1"/>
  <c r="AY35" i="1" a="1"/>
  <c r="AY30" i="1" a="1"/>
  <c r="AY31" i="1" a="1"/>
  <c r="AY33" i="1" a="1"/>
  <c r="AY34" i="1" a="1"/>
  <c r="AY32" i="1" a="1"/>
  <c r="BS10" i="1"/>
  <c r="BS15" i="1"/>
  <c r="BS11" i="1"/>
  <c r="BS12" i="1"/>
  <c r="BS14" i="1"/>
  <c r="BS13" i="1"/>
  <c r="BS20" i="1"/>
  <c r="BS21" i="1"/>
  <c r="BS24" i="1"/>
  <c r="BS23" i="1"/>
  <c r="BS25" i="1"/>
  <c r="BS22" i="1"/>
  <c r="BS33" i="1"/>
  <c r="BS34" i="1"/>
  <c r="BS31" i="1"/>
  <c r="BS30" i="1"/>
  <c r="BS35" i="1"/>
  <c r="BS32" i="1"/>
  <c r="AQ10" i="1" a="1"/>
  <c r="AQ14" i="1" a="1"/>
  <c r="AQ11" i="1" a="1"/>
  <c r="AQ15" i="1" a="1"/>
  <c r="AQ13" i="1" a="1"/>
  <c r="AQ12" i="1" a="1"/>
  <c r="AQ22" i="1" a="1"/>
  <c r="AQ20" i="1" a="1"/>
  <c r="AQ23" i="1" a="1"/>
  <c r="AQ25" i="1" a="1"/>
  <c r="AQ21" i="1" a="1"/>
  <c r="AQ24" i="1" a="1"/>
  <c r="AQ30" i="1" a="1"/>
  <c r="AQ32" i="1" a="1"/>
  <c r="AQ33" i="1" a="1"/>
  <c r="AQ35" i="1" a="1"/>
  <c r="AQ31" i="1" a="1"/>
  <c r="AQ34" i="1" a="1"/>
  <c r="AJ25" i="1" l="1"/>
  <c r="AJ22" i="1"/>
  <c r="AJ20" i="1"/>
  <c r="AJ21" i="1"/>
  <c r="AJ15" i="1"/>
  <c r="AJ11" i="1"/>
  <c r="AJ10" i="1"/>
  <c r="AJ37" i="1"/>
  <c r="AG12" i="1"/>
  <c r="V39" i="1"/>
  <c r="Y39" i="1"/>
  <c r="AC39" i="1"/>
  <c r="V40" i="1"/>
  <c r="V41" i="1"/>
  <c r="AC40" i="1"/>
  <c r="AC41" i="1"/>
  <c r="Y40" i="1"/>
  <c r="Y41" i="1"/>
  <c r="AQ34" i="1"/>
  <c r="AQ31" i="1"/>
  <c r="AQ35" i="1"/>
  <c r="AQ33" i="1"/>
  <c r="AQ32" i="1"/>
  <c r="AQ30" i="1"/>
  <c r="AQ24" i="1"/>
  <c r="AQ21" i="1"/>
  <c r="AQ25" i="1"/>
  <c r="AQ23" i="1"/>
  <c r="AQ20" i="1"/>
  <c r="AQ22" i="1"/>
  <c r="AQ12" i="1"/>
  <c r="AQ13" i="1"/>
  <c r="AQ15" i="1"/>
  <c r="AQ11" i="1"/>
  <c r="AQ14" i="1"/>
  <c r="AQ10" i="1"/>
  <c r="AD32" i="1"/>
  <c r="AD35" i="1"/>
  <c r="AD30" i="1"/>
  <c r="AD31" i="1"/>
  <c r="AD34" i="1"/>
  <c r="CE34" i="1"/>
  <c r="CA34" i="1" s="1"/>
  <c r="AD33" i="1"/>
  <c r="AD22" i="1"/>
  <c r="AD25" i="1"/>
  <c r="AD23" i="1"/>
  <c r="AD24" i="1"/>
  <c r="AD21" i="1"/>
  <c r="AD20" i="1"/>
  <c r="AD13" i="1"/>
  <c r="CE13" i="1"/>
  <c r="CA13" i="1" s="1"/>
  <c r="AD14" i="1"/>
  <c r="AD12" i="1"/>
  <c r="AD11" i="1"/>
  <c r="AD15" i="1"/>
  <c r="AD10" i="1"/>
  <c r="AY32" i="1"/>
  <c r="W32" i="1" s="1"/>
  <c r="AY34" i="1"/>
  <c r="W34" i="1" s="1"/>
  <c r="AY33" i="1"/>
  <c r="W33" i="1" s="1"/>
  <c r="AY31" i="1"/>
  <c r="W31" i="1" s="1"/>
  <c r="AY30" i="1"/>
  <c r="W30" i="1" s="1"/>
  <c r="AY35" i="1"/>
  <c r="W35" i="1" s="1"/>
  <c r="AY23" i="1"/>
  <c r="W23" i="1" s="1"/>
  <c r="AY21" i="1"/>
  <c r="W21" i="1" s="1"/>
  <c r="AY25" i="1"/>
  <c r="W25" i="1" s="1"/>
  <c r="AY22" i="1"/>
  <c r="W22" i="1" s="1"/>
  <c r="AY24" i="1"/>
  <c r="W24" i="1" s="1"/>
  <c r="AY20" i="1"/>
  <c r="W20" i="1" s="1"/>
  <c r="AY13" i="1"/>
  <c r="W13" i="1" s="1"/>
  <c r="AY14" i="1"/>
  <c r="W14" i="1" s="1"/>
  <c r="AY12" i="1"/>
  <c r="W12" i="1" s="1"/>
  <c r="AY15" i="1"/>
  <c r="W15" i="1" s="1"/>
  <c r="AY11" i="1"/>
  <c r="W11" i="1" s="1"/>
  <c r="AY10" i="1"/>
  <c r="W10" i="1" s="1"/>
  <c r="BC35" i="1"/>
  <c r="Z35" i="1" s="1"/>
  <c r="BC31" i="1"/>
  <c r="Z31" i="1" s="1"/>
  <c r="BC30" i="1"/>
  <c r="Z30" i="1" s="1"/>
  <c r="BC34" i="1"/>
  <c r="Z34" i="1" s="1"/>
  <c r="BC33" i="1"/>
  <c r="Z33" i="1" s="1"/>
  <c r="BC32" i="1"/>
  <c r="Z32" i="1" s="1"/>
  <c r="BC23" i="1"/>
  <c r="Z23" i="1" s="1"/>
  <c r="BC22" i="1"/>
  <c r="Z22" i="1" s="1"/>
  <c r="BC24" i="1"/>
  <c r="Z24" i="1" s="1"/>
  <c r="BC20" i="1"/>
  <c r="Z20" i="1" s="1"/>
  <c r="BC25" i="1"/>
  <c r="Z25" i="1" s="1"/>
  <c r="BC21" i="1"/>
  <c r="Z21" i="1" s="1"/>
  <c r="BC14" i="1"/>
  <c r="Z14" i="1" s="1"/>
  <c r="BC13" i="1"/>
  <c r="Z13" i="1" s="1"/>
  <c r="BC15" i="1"/>
  <c r="Z15" i="1" s="1"/>
  <c r="BC11" i="1"/>
  <c r="Z11" i="1" s="1"/>
  <c r="BC12" i="1"/>
  <c r="Z12" i="1" s="1"/>
  <c r="BC10" i="1"/>
  <c r="Z10" i="1" s="1"/>
  <c r="AU35" i="1"/>
  <c r="AK35" i="1" s="1"/>
  <c r="AU34" i="1"/>
  <c r="AK34" i="1" s="1"/>
  <c r="AU31" i="1"/>
  <c r="AK31" i="1" s="1"/>
  <c r="AU32" i="1"/>
  <c r="AK32" i="1" s="1"/>
  <c r="AU33" i="1"/>
  <c r="AK33" i="1" s="1"/>
  <c r="AU30" i="1"/>
  <c r="AK30" i="1" s="1"/>
  <c r="AU25" i="1"/>
  <c r="AK25" i="1" s="1"/>
  <c r="AU22" i="1"/>
  <c r="AK22" i="1" s="1"/>
  <c r="AU21" i="1"/>
  <c r="AK21" i="1" s="1"/>
  <c r="AU23" i="1"/>
  <c r="AK23" i="1" s="1"/>
  <c r="AU24" i="1"/>
  <c r="AK24" i="1" s="1"/>
  <c r="AU20" i="1"/>
  <c r="AH20" i="1" s="1"/>
  <c r="AU14" i="1"/>
  <c r="AK14" i="1" s="1"/>
  <c r="AU12" i="1"/>
  <c r="AK12" i="1" s="1"/>
  <c r="AU13" i="1"/>
  <c r="AK13" i="1" s="1"/>
  <c r="AU15" i="1"/>
  <c r="AK15" i="1" s="1"/>
  <c r="AU11" i="1"/>
  <c r="AK11" i="1" s="1"/>
  <c r="AU10" i="1"/>
  <c r="AK10" i="1" s="1"/>
  <c r="BW32" i="1"/>
  <c r="BW31" i="1"/>
  <c r="BW35" i="1"/>
  <c r="BW34" i="1"/>
  <c r="BW30" i="1"/>
  <c r="BW33" i="1"/>
  <c r="BW23" i="1"/>
  <c r="BW25" i="1"/>
  <c r="BW22" i="1"/>
  <c r="BW21" i="1"/>
  <c r="BW24" i="1"/>
  <c r="BW20" i="1"/>
  <c r="BW11" i="1"/>
  <c r="BW14" i="1"/>
  <c r="BW13" i="1"/>
  <c r="BW12" i="1"/>
  <c r="BW15" i="1"/>
  <c r="BW10" i="1"/>
  <c r="CE31" i="1"/>
  <c r="CA31" i="1" s="1"/>
  <c r="BN31" i="1"/>
  <c r="T31" i="1"/>
  <c r="N31" i="1"/>
  <c r="Y37" i="1"/>
  <c r="CE14" i="1"/>
  <c r="CA14" i="1" s="1"/>
  <c r="BN14" i="1"/>
  <c r="T14" i="1"/>
  <c r="N14" i="1"/>
  <c r="AG31" i="1"/>
  <c r="Q31" i="1"/>
  <c r="CE24" i="1"/>
  <c r="CA24" i="1" s="1"/>
  <c r="BN24" i="1"/>
  <c r="T24" i="1"/>
  <c r="N24" i="1"/>
  <c r="CE33" i="1"/>
  <c r="CA33" i="1" s="1"/>
  <c r="BN33" i="1"/>
  <c r="T33" i="1"/>
  <c r="N33" i="1"/>
  <c r="AG32" i="1"/>
  <c r="Q32" i="1"/>
  <c r="CE35" i="1"/>
  <c r="CA35" i="1" s="1"/>
  <c r="BN35" i="1"/>
  <c r="T35" i="1"/>
  <c r="N35" i="1"/>
  <c r="AG35" i="1"/>
  <c r="Q35" i="1"/>
  <c r="AG13" i="1"/>
  <c r="Q13" i="1"/>
  <c r="M37" i="1"/>
  <c r="AG34" i="1"/>
  <c r="Q34" i="1"/>
  <c r="AG14" i="1"/>
  <c r="Q14" i="1"/>
  <c r="AG33" i="1"/>
  <c r="Q33" i="1"/>
  <c r="AG23" i="1"/>
  <c r="Q23" i="1"/>
  <c r="AC37" i="1"/>
  <c r="CE32" i="1"/>
  <c r="CA32" i="1" s="1"/>
  <c r="T32" i="1"/>
  <c r="BN32" i="1"/>
  <c r="N32" i="1"/>
  <c r="CE30" i="1"/>
  <c r="CA30" i="1" s="1"/>
  <c r="T30" i="1"/>
  <c r="BN30" i="1"/>
  <c r="N30" i="1"/>
  <c r="AG30" i="1"/>
  <c r="Q30" i="1"/>
  <c r="T34" i="1"/>
  <c r="BN34" i="1"/>
  <c r="N34" i="1"/>
  <c r="BN13" i="1"/>
  <c r="T13" i="1"/>
  <c r="N13" i="1"/>
  <c r="CE23" i="1"/>
  <c r="CA23" i="1" s="1"/>
  <c r="T23" i="1"/>
  <c r="BN23" i="1"/>
  <c r="N23" i="1"/>
  <c r="V37" i="1"/>
  <c r="AG24" i="1"/>
  <c r="Q24" i="1"/>
  <c r="M41" i="1"/>
  <c r="M39" i="1"/>
  <c r="CE12" i="1"/>
  <c r="CA12" i="1" s="1"/>
  <c r="T12" i="1"/>
  <c r="BN12" i="1"/>
  <c r="N12" i="1"/>
  <c r="Q12" i="1"/>
  <c r="T25" i="1"/>
  <c r="Q11" i="1"/>
  <c r="Q10" i="1"/>
  <c r="T22" i="1"/>
  <c r="CE11" i="1"/>
  <c r="CA11" i="1" s="1"/>
  <c r="BN11" i="1"/>
  <c r="T11" i="1"/>
  <c r="Q20" i="1"/>
  <c r="T10" i="1"/>
  <c r="N20" i="1"/>
  <c r="T15" i="1"/>
  <c r="Q15" i="1"/>
  <c r="Q22" i="1"/>
  <c r="W7" i="1"/>
  <c r="BX7" i="1"/>
  <c r="CB7" i="1"/>
  <c r="BD7" i="1"/>
  <c r="O7" i="1"/>
  <c r="X7" i="1" s="1"/>
  <c r="AV7" i="1"/>
  <c r="Q25" i="1"/>
  <c r="BT7" i="1"/>
  <c r="CF7" i="1"/>
  <c r="T21" i="1"/>
  <c r="Q21" i="1"/>
  <c r="CE20" i="1"/>
  <c r="CA20" i="1" s="1"/>
  <c r="BN20" i="1"/>
  <c r="CE25" i="1"/>
  <c r="CA25" i="1" s="1"/>
  <c r="BN25" i="1"/>
  <c r="CE10" i="1"/>
  <c r="CA10" i="1" s="1"/>
  <c r="CE15" i="1"/>
  <c r="CA15" i="1" s="1"/>
  <c r="BN15" i="1"/>
  <c r="BN22" i="1"/>
  <c r="CE22" i="1"/>
  <c r="CA22" i="1" s="1"/>
  <c r="BN21" i="1"/>
  <c r="CE21" i="1"/>
  <c r="CA21" i="1" s="1"/>
  <c r="BN10" i="1"/>
  <c r="AZ7" i="1"/>
  <c r="BO7" i="1"/>
  <c r="R7" i="1"/>
  <c r="AH7" i="1"/>
  <c r="AD7" i="1"/>
  <c r="Z7" i="1"/>
  <c r="M40" i="1"/>
  <c r="M27" i="1"/>
  <c r="M17" i="1"/>
  <c r="V17" i="1"/>
  <c r="Y27" i="1"/>
  <c r="Y17" i="1"/>
  <c r="V27" i="1"/>
  <c r="BX10" i="1" a="1"/>
  <c r="BX11" i="1" a="1"/>
  <c r="BX14" i="1" a="1"/>
  <c r="BX15" i="1" a="1"/>
  <c r="BX12" i="1" a="1"/>
  <c r="BX13" i="1" a="1"/>
  <c r="BX24" i="1" a="1"/>
  <c r="BX20" i="1" a="1"/>
  <c r="BX22" i="1" a="1"/>
  <c r="BX23" i="1" a="1"/>
  <c r="BX21" i="1" a="1"/>
  <c r="BX25" i="1" a="1"/>
  <c r="BX30" i="1" a="1"/>
  <c r="BX35" i="1" a="1"/>
  <c r="BX32" i="1" a="1"/>
  <c r="BX31" i="1" a="1"/>
  <c r="BX33" i="1" a="1"/>
  <c r="BX34" i="1" a="1"/>
  <c r="BT10" i="1"/>
  <c r="BT12" i="1"/>
  <c r="BT15" i="1"/>
  <c r="BT14" i="1"/>
  <c r="BT11" i="1"/>
  <c r="BT13" i="1"/>
  <c r="BT20" i="1"/>
  <c r="BT23" i="1"/>
  <c r="BT21" i="1"/>
  <c r="BT24" i="1"/>
  <c r="BT22" i="1"/>
  <c r="BT25" i="1"/>
  <c r="BT34" i="1"/>
  <c r="BT31" i="1"/>
  <c r="BT33" i="1"/>
  <c r="BT30" i="1"/>
  <c r="BT32" i="1"/>
  <c r="BT35" i="1"/>
  <c r="BD10" i="1" a="1"/>
  <c r="BD15" i="1" a="1"/>
  <c r="BD13" i="1" a="1"/>
  <c r="BD11" i="1" a="1"/>
  <c r="BD12" i="1" a="1"/>
  <c r="BD14" i="1" a="1"/>
  <c r="BD25" i="1" a="1"/>
  <c r="BD21" i="1" a="1"/>
  <c r="BD24" i="1" a="1"/>
  <c r="BD23" i="1" a="1"/>
  <c r="BD20" i="1" a="1"/>
  <c r="BD22" i="1" a="1"/>
  <c r="BD32" i="1" a="1"/>
  <c r="BD35" i="1" a="1"/>
  <c r="BD34" i="1" a="1"/>
  <c r="BD31" i="1" a="1"/>
  <c r="BD30" i="1" a="1"/>
  <c r="BD33" i="1" a="1"/>
  <c r="AZ10" i="1" a="1"/>
  <c r="AZ15" i="1" a="1"/>
  <c r="AZ11" i="1" a="1"/>
  <c r="AZ12" i="1" a="1"/>
  <c r="AZ14" i="1" a="1"/>
  <c r="AZ13" i="1" a="1"/>
  <c r="AZ21" i="1" a="1"/>
  <c r="AZ23" i="1" a="1"/>
  <c r="AZ20" i="1" a="1"/>
  <c r="AZ22" i="1" a="1"/>
  <c r="AZ25" i="1" a="1"/>
  <c r="AZ24" i="1" a="1"/>
  <c r="AZ30" i="1" a="1"/>
  <c r="AZ34" i="1" a="1"/>
  <c r="AZ31" i="1" a="1"/>
  <c r="AZ35" i="1" a="1"/>
  <c r="AZ32" i="1" a="1"/>
  <c r="AZ33" i="1" a="1"/>
  <c r="AV10" i="1" a="1"/>
  <c r="AV11" i="1" a="1"/>
  <c r="AV15" i="1" a="1"/>
  <c r="AV13" i="1" a="1"/>
  <c r="AV14" i="1" a="1"/>
  <c r="AV12" i="1" a="1"/>
  <c r="AV23" i="1" a="1"/>
  <c r="AV21" i="1" a="1"/>
  <c r="AV20" i="1" a="1"/>
  <c r="AV25" i="1" a="1"/>
  <c r="AV24" i="1" a="1"/>
  <c r="AV22" i="1" a="1"/>
  <c r="AV30" i="1" a="1"/>
  <c r="AV33" i="1" a="1"/>
  <c r="AV34" i="1" a="1"/>
  <c r="AV32" i="1" a="1"/>
  <c r="AV35" i="1" a="1"/>
  <c r="AV31" i="1" a="1"/>
  <c r="AK20" i="1" l="1"/>
  <c r="AK27" i="1" s="1"/>
  <c r="AK37" i="1"/>
  <c r="AJ27" i="1"/>
  <c r="AH25" i="1"/>
  <c r="AH21" i="1"/>
  <c r="AH22" i="1"/>
  <c r="AJ17" i="1"/>
  <c r="AJ40" i="1"/>
  <c r="AJ39" i="1"/>
  <c r="AJ41" i="1"/>
  <c r="AH12" i="1"/>
  <c r="AH11" i="1"/>
  <c r="AK17" i="1"/>
  <c r="AH15" i="1"/>
  <c r="AH10" i="1"/>
  <c r="AG40" i="1"/>
  <c r="AG39" i="1"/>
  <c r="AK39" i="1"/>
  <c r="AD39" i="1"/>
  <c r="W39" i="1"/>
  <c r="AG41" i="1"/>
  <c r="Z39" i="1"/>
  <c r="AD41" i="1"/>
  <c r="AD40" i="1"/>
  <c r="W40" i="1"/>
  <c r="W41" i="1"/>
  <c r="Z40" i="1"/>
  <c r="Z41" i="1"/>
  <c r="N37" i="1"/>
  <c r="W37" i="1"/>
  <c r="AV31" i="1"/>
  <c r="AV35" i="1"/>
  <c r="AV32" i="1"/>
  <c r="AV34" i="1"/>
  <c r="AV33" i="1"/>
  <c r="AV30" i="1"/>
  <c r="AV22" i="1"/>
  <c r="AI22" i="1" s="1"/>
  <c r="AV24" i="1"/>
  <c r="AV25" i="1"/>
  <c r="AI25" i="1" s="1"/>
  <c r="AV20" i="1"/>
  <c r="AI20" i="1" s="1"/>
  <c r="AV21" i="1"/>
  <c r="AI21" i="1" s="1"/>
  <c r="AV23" i="1"/>
  <c r="AV12" i="1"/>
  <c r="AI12" i="1" s="1"/>
  <c r="AV14" i="1"/>
  <c r="AV13" i="1"/>
  <c r="AV15" i="1"/>
  <c r="AI15" i="1" s="1"/>
  <c r="AV11" i="1"/>
  <c r="AI11" i="1" s="1"/>
  <c r="AV10" i="1"/>
  <c r="AI10" i="1" s="1"/>
  <c r="AZ33" i="1"/>
  <c r="X33" i="1" s="1"/>
  <c r="AZ32" i="1"/>
  <c r="X32" i="1" s="1"/>
  <c r="AZ35" i="1"/>
  <c r="X35" i="1" s="1"/>
  <c r="AZ31" i="1"/>
  <c r="X31" i="1" s="1"/>
  <c r="AZ34" i="1"/>
  <c r="X34" i="1" s="1"/>
  <c r="AZ30" i="1"/>
  <c r="X30" i="1" s="1"/>
  <c r="AZ24" i="1"/>
  <c r="X24" i="1" s="1"/>
  <c r="AZ25" i="1"/>
  <c r="X25" i="1" s="1"/>
  <c r="AZ22" i="1"/>
  <c r="X22" i="1" s="1"/>
  <c r="AZ20" i="1"/>
  <c r="X20" i="1" s="1"/>
  <c r="AZ23" i="1"/>
  <c r="X23" i="1" s="1"/>
  <c r="AZ21" i="1"/>
  <c r="X21" i="1" s="1"/>
  <c r="AZ13" i="1"/>
  <c r="X13" i="1" s="1"/>
  <c r="AZ14" i="1"/>
  <c r="X14" i="1" s="1"/>
  <c r="AZ12" i="1"/>
  <c r="X12" i="1" s="1"/>
  <c r="AZ11" i="1"/>
  <c r="X11" i="1" s="1"/>
  <c r="AZ15" i="1"/>
  <c r="X15" i="1" s="1"/>
  <c r="AZ10" i="1"/>
  <c r="X10" i="1" s="1"/>
  <c r="BD33" i="1"/>
  <c r="AA33" i="1" s="1"/>
  <c r="BD30" i="1"/>
  <c r="AA30" i="1" s="1"/>
  <c r="BD31" i="1"/>
  <c r="AA31" i="1" s="1"/>
  <c r="BD34" i="1"/>
  <c r="AA34" i="1" s="1"/>
  <c r="BD35" i="1"/>
  <c r="AA35" i="1" s="1"/>
  <c r="BD32" i="1"/>
  <c r="AA32" i="1" s="1"/>
  <c r="BD22" i="1"/>
  <c r="AA22" i="1" s="1"/>
  <c r="BD20" i="1"/>
  <c r="AA20" i="1" s="1"/>
  <c r="BD23" i="1"/>
  <c r="AA23" i="1" s="1"/>
  <c r="BD24" i="1"/>
  <c r="AA24" i="1" s="1"/>
  <c r="BD21" i="1"/>
  <c r="AA21" i="1" s="1"/>
  <c r="BD25" i="1"/>
  <c r="AA25" i="1" s="1"/>
  <c r="BD14" i="1"/>
  <c r="AA14" i="1" s="1"/>
  <c r="BD12" i="1"/>
  <c r="AA12" i="1" s="1"/>
  <c r="BD11" i="1"/>
  <c r="AA11" i="1" s="1"/>
  <c r="BD13" i="1"/>
  <c r="AA13" i="1" s="1"/>
  <c r="BD15" i="1"/>
  <c r="AA15" i="1" s="1"/>
  <c r="BD10" i="1"/>
  <c r="AA10" i="1" s="1"/>
  <c r="AE35" i="1"/>
  <c r="CF35" i="1"/>
  <c r="CB35" i="1" s="1"/>
  <c r="AE32" i="1"/>
  <c r="CF32" i="1"/>
  <c r="CB32" i="1" s="1"/>
  <c r="AE30" i="1"/>
  <c r="AE33" i="1"/>
  <c r="AE31" i="1"/>
  <c r="AE34" i="1"/>
  <c r="AE25" i="1"/>
  <c r="AE22" i="1"/>
  <c r="AE24" i="1"/>
  <c r="AE21" i="1"/>
  <c r="AE23" i="1"/>
  <c r="AE20" i="1"/>
  <c r="AE13" i="1"/>
  <c r="CF13" i="1"/>
  <c r="CB13" i="1" s="1"/>
  <c r="AE11" i="1"/>
  <c r="AE14" i="1"/>
  <c r="CF14" i="1"/>
  <c r="CB14" i="1" s="1"/>
  <c r="AE15" i="1"/>
  <c r="AE12" i="1"/>
  <c r="AE10" i="1"/>
  <c r="BX34" i="1"/>
  <c r="BX33" i="1"/>
  <c r="BX31" i="1"/>
  <c r="BX32" i="1"/>
  <c r="BX35" i="1"/>
  <c r="BX30" i="1"/>
  <c r="BX25" i="1"/>
  <c r="BX21" i="1"/>
  <c r="BX23" i="1"/>
  <c r="BX22" i="1"/>
  <c r="BX20" i="1"/>
  <c r="BX24" i="1"/>
  <c r="BX13" i="1"/>
  <c r="BX12" i="1"/>
  <c r="BX15" i="1"/>
  <c r="BX14" i="1"/>
  <c r="BX11" i="1"/>
  <c r="BX10" i="1"/>
  <c r="BO35" i="1"/>
  <c r="U35" i="1"/>
  <c r="O35" i="1"/>
  <c r="CF34" i="1"/>
  <c r="CB34" i="1" s="1"/>
  <c r="U34" i="1"/>
  <c r="BO34" i="1"/>
  <c r="O34" i="1"/>
  <c r="AH30" i="1"/>
  <c r="R30" i="1"/>
  <c r="Q37" i="1"/>
  <c r="Z37" i="1"/>
  <c r="AD17" i="1"/>
  <c r="AH31" i="1"/>
  <c r="R31" i="1"/>
  <c r="T37" i="1"/>
  <c r="AD27" i="1"/>
  <c r="CF23" i="1"/>
  <c r="CB23" i="1" s="1"/>
  <c r="BO23" i="1"/>
  <c r="U23" i="1"/>
  <c r="O23" i="1"/>
  <c r="AH13" i="1"/>
  <c r="R13" i="1"/>
  <c r="AD37" i="1"/>
  <c r="AH33" i="1"/>
  <c r="R33" i="1"/>
  <c r="U13" i="1"/>
  <c r="BO13" i="1"/>
  <c r="O13" i="1"/>
  <c r="CF30" i="1"/>
  <c r="CB30" i="1" s="1"/>
  <c r="U30" i="1"/>
  <c r="BO30" i="1"/>
  <c r="O30" i="1"/>
  <c r="AG37" i="1"/>
  <c r="AH32" i="1"/>
  <c r="R32" i="1"/>
  <c r="U14" i="1"/>
  <c r="BO14" i="1"/>
  <c r="O14" i="1"/>
  <c r="AH34" i="1"/>
  <c r="R34" i="1"/>
  <c r="AH35" i="1"/>
  <c r="R35" i="1"/>
  <c r="AH14" i="1"/>
  <c r="R14" i="1"/>
  <c r="CF24" i="1"/>
  <c r="CB24" i="1" s="1"/>
  <c r="BO24" i="1"/>
  <c r="U24" i="1"/>
  <c r="O24" i="1"/>
  <c r="AH24" i="1"/>
  <c r="R24" i="1"/>
  <c r="U32" i="1"/>
  <c r="BO32" i="1"/>
  <c r="O32" i="1"/>
  <c r="AH23" i="1"/>
  <c r="R23" i="1"/>
  <c r="CF33" i="1"/>
  <c r="CB33" i="1" s="1"/>
  <c r="U33" i="1"/>
  <c r="BO33" i="1"/>
  <c r="O33" i="1"/>
  <c r="CF31" i="1"/>
  <c r="CB31" i="1" s="1"/>
  <c r="BO31" i="1"/>
  <c r="U31" i="1"/>
  <c r="O31" i="1"/>
  <c r="N41" i="1"/>
  <c r="N39" i="1"/>
  <c r="T41" i="1"/>
  <c r="Q41" i="1"/>
  <c r="Q39" i="1"/>
  <c r="T39" i="1"/>
  <c r="N17" i="1"/>
  <c r="CF12" i="1"/>
  <c r="CB12" i="1" s="1"/>
  <c r="R12" i="1"/>
  <c r="U12" i="1"/>
  <c r="BO12" i="1"/>
  <c r="O12" i="1"/>
  <c r="T40" i="1"/>
  <c r="U10" i="1"/>
  <c r="O15" i="1"/>
  <c r="O25" i="1"/>
  <c r="R22" i="1"/>
  <c r="O21" i="1"/>
  <c r="O22" i="1"/>
  <c r="O20" i="1"/>
  <c r="Q17" i="1"/>
  <c r="U15" i="1"/>
  <c r="CF11" i="1"/>
  <c r="CB11" i="1" s="1"/>
  <c r="R11" i="1"/>
  <c r="N40" i="1"/>
  <c r="O11" i="1"/>
  <c r="U11" i="1"/>
  <c r="BO11" i="1"/>
  <c r="N27" i="1"/>
  <c r="O10" i="1"/>
  <c r="R15" i="1"/>
  <c r="T17" i="1"/>
  <c r="T27" i="1"/>
  <c r="W17" i="1"/>
  <c r="Z27" i="1"/>
  <c r="Z17" i="1"/>
  <c r="Q27" i="1"/>
  <c r="S7" i="1"/>
  <c r="AE7" i="1"/>
  <c r="AI7" i="1"/>
  <c r="AA7" i="1"/>
  <c r="U7" i="1" s="1"/>
  <c r="Q40" i="1"/>
  <c r="BO25" i="1"/>
  <c r="CF22" i="1"/>
  <c r="CB22" i="1" s="1"/>
  <c r="BO21" i="1"/>
  <c r="CF10" i="1"/>
  <c r="CB10" i="1" s="1"/>
  <c r="BO10" i="1"/>
  <c r="CF15" i="1"/>
  <c r="CB15" i="1" s="1"/>
  <c r="BO15" i="1"/>
  <c r="U22" i="1"/>
  <c r="BO22" i="1"/>
  <c r="T7" i="1"/>
  <c r="W27" i="1"/>
  <c r="R21" i="1"/>
  <c r="CF21" i="1"/>
  <c r="CB21" i="1" s="1"/>
  <c r="R10" i="1"/>
  <c r="U20" i="1"/>
  <c r="U21" i="1"/>
  <c r="CF25" i="1"/>
  <c r="CB25" i="1" s="1"/>
  <c r="R20" i="1"/>
  <c r="R25" i="1"/>
  <c r="BO20" i="1"/>
  <c r="CF20" i="1"/>
  <c r="CB20" i="1" s="1"/>
  <c r="U25" i="1"/>
  <c r="AK41" i="1" l="1"/>
  <c r="AK40" i="1"/>
  <c r="AH40" i="1"/>
  <c r="AH39" i="1"/>
  <c r="AE39" i="1"/>
  <c r="X39" i="1"/>
  <c r="AH41" i="1"/>
  <c r="AA39" i="1"/>
  <c r="AE40" i="1"/>
  <c r="AE41" i="1"/>
  <c r="X40" i="1"/>
  <c r="X41" i="1"/>
  <c r="AA40" i="1"/>
  <c r="AA41" i="1"/>
  <c r="AI23" i="1"/>
  <c r="S23" i="1"/>
  <c r="AI33" i="1"/>
  <c r="S33" i="1"/>
  <c r="X37" i="1"/>
  <c r="AI34" i="1"/>
  <c r="S34" i="1"/>
  <c r="AE17" i="1"/>
  <c r="AI24" i="1"/>
  <c r="S24" i="1"/>
  <c r="R37" i="1"/>
  <c r="AI32" i="1"/>
  <c r="S32" i="1"/>
  <c r="AI13" i="1"/>
  <c r="S13" i="1"/>
  <c r="AI14" i="1"/>
  <c r="S14" i="1"/>
  <c r="O37" i="1"/>
  <c r="AE27" i="1"/>
  <c r="U37" i="1"/>
  <c r="AI30" i="1"/>
  <c r="S30" i="1"/>
  <c r="AH37" i="1"/>
  <c r="AI35" i="1"/>
  <c r="S35" i="1"/>
  <c r="AE37" i="1"/>
  <c r="AA37" i="1"/>
  <c r="AI31" i="1"/>
  <c r="S31" i="1"/>
  <c r="O41" i="1"/>
  <c r="R41" i="1"/>
  <c r="U39" i="1"/>
  <c r="U41" i="1"/>
  <c r="R39" i="1"/>
  <c r="O39" i="1"/>
  <c r="AG17" i="1"/>
  <c r="S12" i="1"/>
  <c r="AC17" i="1"/>
  <c r="O27" i="1"/>
  <c r="U40" i="1"/>
  <c r="AG27" i="1"/>
  <c r="S21" i="1"/>
  <c r="AC27" i="1"/>
  <c r="U17" i="1"/>
  <c r="O17" i="1"/>
  <c r="S11" i="1"/>
  <c r="O40" i="1"/>
  <c r="R17" i="1"/>
  <c r="AA17" i="1"/>
  <c r="S22" i="1"/>
  <c r="S25" i="1"/>
  <c r="S15" i="1"/>
  <c r="AA27" i="1"/>
  <c r="S20" i="1"/>
  <c r="U27" i="1"/>
  <c r="R40" i="1"/>
  <c r="X27" i="1"/>
  <c r="S10" i="1"/>
  <c r="X17" i="1"/>
  <c r="R27" i="1"/>
  <c r="AI41" i="1" l="1"/>
  <c r="AI39" i="1"/>
  <c r="AI40" i="1"/>
  <c r="AI37" i="1"/>
  <c r="S37" i="1"/>
  <c r="S39" i="1"/>
  <c r="S41" i="1"/>
  <c r="AI17" i="1"/>
  <c r="AH17" i="1"/>
  <c r="AH27" i="1"/>
  <c r="AI27" i="1"/>
  <c r="S17" i="1"/>
  <c r="S40" i="1"/>
  <c r="S2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<sst xmlns="http://schemas.openxmlformats.org/spreadsheetml/2006/main" count="66" uniqueCount="56">
  <si>
    <t>Currency:</t>
  </si>
  <si>
    <t>EV/Revenue</t>
  </si>
  <si>
    <t>EV/EBITDA</t>
  </si>
  <si>
    <t>Min</t>
  </si>
  <si>
    <t>Max</t>
  </si>
  <si>
    <t>Price</t>
  </si>
  <si>
    <t>Native</t>
  </si>
  <si>
    <t>Market</t>
  </si>
  <si>
    <t>Enterprise</t>
  </si>
  <si>
    <t>EV / Revenue</t>
  </si>
  <si>
    <t>EV / EBITDA</t>
  </si>
  <si>
    <t>P / E</t>
  </si>
  <si>
    <t>Book</t>
  </si>
  <si>
    <t>Revenue</t>
  </si>
  <si>
    <t>EBITDA</t>
  </si>
  <si>
    <t>EPS</t>
  </si>
  <si>
    <t>Company</t>
  </si>
  <si>
    <t>Currency</t>
  </si>
  <si>
    <t>Cap</t>
  </si>
  <si>
    <t>Value</t>
  </si>
  <si>
    <t>Equity</t>
  </si>
  <si>
    <t>Debt</t>
  </si>
  <si>
    <t>Group Average</t>
  </si>
  <si>
    <t>Global Average</t>
  </si>
  <si>
    <t>EBITDA Margin</t>
  </si>
  <si>
    <t>Div.</t>
  </si>
  <si>
    <t>Yield</t>
  </si>
  <si>
    <t>Net Debt</t>
  </si>
  <si>
    <t>P / CF</t>
  </si>
  <si>
    <t>Gross Margin</t>
  </si>
  <si>
    <t>Rev. Growth</t>
  </si>
  <si>
    <t>Gross Profit</t>
  </si>
  <si>
    <t>Cash &amp; ST</t>
  </si>
  <si>
    <t>Investments</t>
  </si>
  <si>
    <t>Gross Margin (%)</t>
  </si>
  <si>
    <t>Gross Margin (%) - Number of Estimates</t>
  </si>
  <si>
    <t>Implied Gross Margin (%)</t>
  </si>
  <si>
    <t>Gross Profit - LIVE</t>
  </si>
  <si>
    <t>`</t>
  </si>
  <si>
    <t>Global Median</t>
  </si>
  <si>
    <t>Global Average (Excl. High / Low)</t>
  </si>
  <si>
    <t>Using $ Formula</t>
  </si>
  <si>
    <t>Using % Formula</t>
  </si>
  <si>
    <t>Net Debt / Adj. EBITDA</t>
  </si>
  <si>
    <t>CFPS</t>
  </si>
  <si>
    <t>$F$2</t>
  </si>
  <si>
    <t>Period:</t>
  </si>
  <si>
    <t>CY2025</t>
  </si>
  <si>
    <t>LTM</t>
  </si>
  <si>
    <t>Description</t>
  </si>
  <si>
    <t>[Group #1]</t>
  </si>
  <si>
    <t>[Group #2]</t>
  </si>
  <si>
    <t>[Group #3]</t>
  </si>
  <si>
    <t>CAD</t>
  </si>
  <si>
    <t>\</t>
  </si>
  <si>
    <t>允䅁䝁䅫䅁䍁䅁䅁䅁䝂䅁䅁杔䅁䕁䄸䅣あ䝁䅫睢畂䡁䅍杏杁䕁䅍兤祂䡁䅉児䙂䙁䅕杕獁䍁䅁兔桂䝁䅣児乂䝁䅫䅢獂䝁䅫睢畂䡁䅍䅌杁䕁䄴兑㥁䍁䄰兌䅁䑁䅷䅁䝁䅁䅁兌瑁䅁䅁李䅁䑁䅧䅁橁䕁䅫杔坂䕁䅅䅔䩂䕁䅑䅉䝂䙁䅕杔䑂䙁䅑兓偂䕁䄴䅉兂䕁䅅杕䉂䕁䄰兒啂䕁䅕杕䅁䅁䅑䅁奁䅁䅁䅋睁䑁䅅兌䭂䝁䅅杢瑁䑁䅉兎灁䅁䅁杂䅁䍁䅯䅁䭂䙁䅁兔療䡁䅉睚桂䝁䄴䅉䑂䝁䅧兙穂䝁䅕䅉流䍁䅁睑療䍁䄴䅁佂䅁䅁杓䅁䕁䅍兗祁䑁䅁杍ぁ䑁䅑兎㉁䑁䅕䅏偂䡁䅁䅤灂䝁䄸杢穂䑁䅯睑ㅂ䡁䅉杣㥁䙁䅕睕䕂䍁䅷䅉佂䕁䅅児佂䙁䅕䅔䵂䅁䅁䅗䅁䉁䅙䅁睁䑁䅙睌硁䑁䅁睌祁䑁䅁杍ㅁ䅁䅁兂䅁䅁䅑䅁瑁䅁䅁䅎䅁䝁䅉䅁䑂䙁䅫杍睁䑁䅉兎ぁ䑁䅕李ㅁ䑁䅧睔睂䡁䅑兡療䝁䄴督㙁䕁䅍兤祂䡁䅉児噂䙁䅍䅒獁䍁䅁兔桂䝁䅣児乂䝁䅫䅢獂䝁䅫睢畂䡁䅍䅌杁䕁䄴兑㥁䍁䄰兌䅁䕁䄸䅁捂䅁䅁杒剂䑁䅁䅎ㅁ䑁䅙兎㑁䕁䄸䅣あ䝁䅫睢畂䡁䅍杏䑂䡁䅕杣祂䑁䄰兖呂䕁䅑䅌杁䕁䄰兙湂䑁䄰兔灂䝁䅷䅢灂䝁䄸杢穂䍁䅷䅉佂䕁䅅児瑁䍁䄰䅁兂䅁䅁杍䅁䕁䄸䅣あ䝁䅫睢畂䡁䅍杏杁䕁䅍兤祂䡁䅉児䙂䙁䅕杕獁䍁䅁杔䉂䑁䄰兌瑁䅁䅁睐䅁䅁䄴䅁䑂䙁䅫杍睁䑁䅉䅎䅁䉁䅍䅁䥁䅁䅁睑䉂䕁䅑䅁䩁䅁䅁䅎䅁䕁䅍兗祁䑁䅁杍㉁䑁䅑兎㉁䑁䅕䅏偂䡁䅁䅤灂䝁䄸杢穂䑁䅯䅉佂䕁䅅児瑁䍁䄰䅁啂䅁䅁䅎䅁䕁䅍兗祁䑁䅁杍ぁ䑁䅑兎㉁䑁䅕䅏偂䡁䅁䅤灂䝁䄸杢穂䑁䅯䅉佂䕁䅅児瑁䍁䄰䅁卂䅁䅁杙䅁䕁䅍兗祁䑁䅁杍ぁ䑁䅑兎㉁䑁䅕䅏偂䡁䅁䅤灂䝁䄸杢穂䑁䅯睑ㅂ䡁䅉杣㥁䙁䅕睕䕂䍁䅷䅉乂䝁䅅睚㥁䕁䄰兡獂䝁䅷兡療䝁䄴督獁䍁䅁杔䉂䑁䄰兌瑁䅁䅁兕䅁䅁䄴䅁䑂䙁䅫杍睁䑁䅉李䅁䉁䅕䅁浂䅁䅁睑婂䑁䅉䅍祁䑁䅑䅎ㅁ䑁䅙兎㑁䕁䄸䅣あ䝁䅫睢畂䡁䅍杏䑂䡁䅕杣祂䑁䄰兖呂䕁䅑䅌杁䕁䄰兙湂䑁䄰兔灂䝁䅷䅢灂䝁䄸杢穂䍁䅷䅉佂䕁䅅児佂䙁䅕䅔䵂䅁䅁兖䅁䕁䅙䅁䑂䙁䅫杍睁䑁䅉䅎ぁ䑁䅕李ㅁ䑁䅧睔睂䡁䅑兡療䝁䄴督㙁䕁䅍兤祂䡁䅉児噂䙁䅍䅒獁䍁䅁杔䉂䑁䄰兌瑁䅁䅁䅘䅁䕁䅯䅁偂䡁䅁䅤灂䝁䄸杢穂䑁䅯睑ㅂ䡁䅉杣㥁䙁䅉党睂䝁䄸杣あ䝁䅕䅚杁䕁䅍兤祂䡁䅉党畂䝁䅍入獁䕁䄴兑㥁䍁䄰兌䅁䑁䅯䅁佁䅁䅁睑婂䑁䅉䅍祁䑁䅕䅁啁䅁䅁䅃䅁䕁䅙兕睁䅁䅁睄䅁䑁䅑䅁䑂䙁䅫杍睁䑁䅉兎ぁ䑁䅕李ㅁ䑁䅧睔睂䡁䅑兡療䝁䄴督㙁䍁䅁杔䉂䑁䄰兌瑁䅁䅁睕䅁䙁䅑䅁䱂䝁䄴兡湂䝁䅧䅤瑁䙁䅍睤灂䝁䅙䅤杁䙁䅑杣桂䝁䄴督睂䝁䄸杣あ䝁䅅䅤灂䝁䄸杢杁䕁䅧睢獂䝁䅑兡畂䝁䅣督杁䕁䅫杢橂䍁䄴䅁潁䅁䅁杚䅁䕁䅍兗祁䑁䅁杍ㅁ䑁䅑兎㉁䑁䅕䅏偂䡁䅁䅤灂䝁䄸杢穂䑁䅯睑ㅂ䡁䅉杣㥁䙁䅕睕䕂䍁䅷䅉乂䝁䅅睚㥁䕁䄰兡獂䝁䅷兡療䝁䄴督獁䍁䅁杔䉂䑁䄰杔噂䕁䅷䅔䅁䙁䅙䅁䭂䅁䅁睑婂䑁䅉䅍祁䑁䅕䅎ㅁ䑁䅙兎㑁䕁䄸䅣あ䝁䅫睢畂䡁䅍杏䑂䡁䅕杣祂䑁䄰兖呂䕁䅑䅌杁䕁䄴兑㥁䕁䄴兖䵂䕁䅷䅁婂䅁䅁杈䅁䕁䄴兑呂䕁䅑兑剂䕁䅣睕㙁䕁䄰杕啂䕁䄴䅉䅁䍁䄰䅁楂䅁䅁睑婂䑁䅉䅍祁䑁䅙䅎ㅁ䑁䅙兎㑁䕁䄸䅣あ䝁䅫睢畂䡁䅍杏䑂䡁䅕杣祂䑁䄰兖呂䕁䅑䅌杁䕁䄰兙湂䑁䄰兔灂䝁䅷䅢灂䝁䄸杢穂䍁䅷䅉佂䕁䅅児瑁䍁䄰䅁扂䅁䅁杚䅁䕁䅍兗祁䑁䅁杍㉁䑁䅑兎㉁䑁䅕䅏偂䡁䅁䅤灂䝁䄸杢穂䑁䅯睑ㅂ䡁䅉杣㥁䙁䅕睕䕂䍁䅷䅉乂䝁䅅睚㥁䕁䄰兡獂䝁䅷兡療䝁䄴督獁䍁䅁杔䉂䑁䄰杔噂䕁䅷䅔䅁䙁䅣䅁佁䅁䅁睑婂䑁䅉䅍祁䑁䅣䅁桂䅁䅁杅䅁䕁䄴兗呂䕁䅕杏䩂䕁䅉兔䅁䕁䅣䅁䭂䅁䅁睑婂䑁䅉䅍祁䑁䅙䅎ㅁ䑁䅙兎㑁䕁䄸䅣あ䝁䅫睢畂䡁䅍杏䑂䡁䅕杣祂䑁䄰兖呂䕁䅑䅌杁䕁䄴兑㥁䕁䄴兖䵂䕁䅷䅁慂䅁䅁䅍䅁䕁䅧党桂䡁䅉䅤獂䝁䅅杢歂䍁䅁兒㑂䡁䅁杣求䡁䅍督獁䍁䅁兓畂䝁䅍杌䅁䍁䅷䅁䥁䅁䅁兓䍂䕁䄰䅁䩂䅁䅁䅈䅁䕁䅫兕時䕁䅍兑呂䕁䅧睘䙂䙁䅅兖䩂䙁䅙䅁㥁䅁䅁杈䅁䕁䄸䅣あ䝁䅫睢畂䡁䅍杏杁䕁䄴兑㥁䕁䄴兑䅁䅁䅍䅁歁䅁䅁兓剂䙁䄸睑䉂䙁䅍䅓時䙁䅍䅖時䕁䅫杔坂䕁䅕睕啂䅁䅁充䅁䉁䅷䅁佂䕁䅅睕䕂䕁䅅兕䡂䙁䅍杏䥂䙁䅑䅔䕂䅁䅁睋䅁䅁䄴䅁䩂䙁䅅睘啂䕁䅕杖䅁䅁䅷䅁佂䅁䅁睔睂䡁䅑兡療䝁䄴督㙁䍁䅁睑ㅂ䡁䅉杣㥁䙁䅕睕䕂䍁䅷䅉乂䝁䅅睚㥁䕁䄰兡獂䝁䅷兡療䝁䄴督獁䍁䅁杔䉂䑁䄰兌瑁䅁䅁䅏䅁䉁䅷䅁䩂䙁䅅睘啂䕁䄸䅖䉂䕁䅷睘䕂䕁䅕村啂䅁䅁杘䅁䙁䅁䅁偂䡁䅁䅤灂䝁䄸杢穂䑁䅯䅉䑂䡁䅕杣祂䑁䄰兖呂䕁䅑䅌杁䕁䄰兙湂䑁䄰䅖潂䝁䄸兤穂䝁䅅杢歂䡁䅍䅌杁䕁䄴兑㥁䕁䄴兑䅁䉁䄰䅁捁䅁䅁睔睂䡁䅑兡療䝁䄴督㙁䍁䅁杔䉂䑁䄰兌䅁䑁䅍䅁杁䅁䅁兓剂䙁䄸䅖偂䙁䅑兑䵂䙁䄸兒剂䙁䅕兓啂䙁䅫䅁摂䅁䅁䅗䅁䕁䅫杢あ䝁䅕杣畂䝁䅅䅤灂䝁䄸杢桂䝁䅷䅉䍂䡁䅕督灂䝁䄴党穂䡁䅍䅉乂䝁䅅睙潂䝁䅫杢求䡁䅍䅉䑂䝁䄸杣睂䝁䄸杣桂䡁䅑兡療䝁䄴䅁䭂䅁䅁杒䅁䕁䅯杌䍂䍁䄴䅉䥂䡁䅕杢あ䍁䅁䅖祂䝁䅅杢穂䡁䅁睢祂䡁䅑䅉呂䝁䅕杣㉂䝁䅫睙求䡁䅍䅌杁䕁䅫杢橂䍁䄴䅁楁䅁䅁䅃䅁䕁䅯䅕乂䅁䅁兔䅁䅁䅙䅁佂䕁䅅䅁塁䅁䅁杌䅁䕁䄰兙祂䡁䅑党畂䍁䅁䅖祂䝁䅅杢穂䡁䅁睢祂䡁䅑䅌杁䕁䅷䅤歂䍁䄴䅁畁䅁䅁䅊䅁䕁䄰兤獂䝁䅷党畂䍁䅁睒祂䝁䄸兤睂䍁䅁䅔あ䝁䅑杌䅁䍁䅁䅁敁䅁䅁杔䉂䙁䅍䅒䉂䙁䅅睒呂䑁䅯杓䍂䕁䅧䅖杁䅁䅁光䅁䙁䅁䅁偂䡁䅁䅤灂䝁䄸杢穂䑁䅯䅉䑂䡁䅕杣祂䑁䄰兖呂䕁䅑䅌杁䕁䄰兙湂䑁䄰䅖潂䝁䄸兤穂䝁䅅杢歂䡁䅍䅌杁䕁䄴兑㥁䍁䄰兌䅁䑁䅳䅁捁䅁䅁杔䉂䙁䅍䅒䉂䙁䅅睒呂䑁䅯睖䙂䙁䅉杔䅁䍁䅫䅁允䅁䅁䅖呂䙁䅧杏乂䙁䅑䅔䅁䉁䄸䅁啁䅁䅁杔婂䙁䅍兒㙁䙁䅍杔䕂䙁䅉䅁橁䅁䅁杈䅁䕁䄸䅣あ䝁䅫睢畂䡁䅍杏杁䕁䄴兑㥁䍁䄰兌䅁䑁䅕䅁䭁䅁䅁杔噂䕁䅷䅔䅁䕁䅍䅁啁䅁䅁杔婂䙁䅍兒㙁䕁䅳杔奂䍁䅁䅁湁䅁䅁杅䅁䕁䄴兗呂䕁䅕杏奂䙁䅁睔䅁䍁䅕䅁佂䅁䅁睔睂䡁䅑兡療䝁䄴督㙁䍁䅁䅉䑂䡁䅕杣祂䑁䄰杕求䡁䅁睢祂䡁䅑党歂䍁䅁睑ㅂ䡁䅉杣求䝁䄴睙㕂䍁䅷杔䉂䑁䄰杔䉂䅁䅁睌䅁䑁䅉䅁偂䡁䅁䅤灂䝁䄸杢穂䑁䅯䅉䑂䡁䅕杣祂䑁䄰兒噂䙁䅉䅌杁䕁䄴兑㥁䕁䄴兑䅁䉁䅳䅁佂䅁䅁睔睂䡁䅑兡療䝁䄴督㙁䍁䅁睑ㅂ䡁䅉杣㥁䙁䅕睕䕂䍁䅷䅉乂䝁䅅睚㥁䕁䄰兡獂䝁䅷兡療䝁䄴督獁䍁䅁杔䉂䑁䄰杔䉂䅁䅁睃䅁䑁䅉䅁偂䡁䅁䅤灂䝁䄸杢穂䑁䅯䅉䑂䡁䅕杣祂䑁䄰兖呂䕁䅑䅌杁䕁䄴兑㥁䍁䄰兌䅁䑁䅣䅁祁䅁䅁睔睂䡁䅑兡療䝁䄴督㙁䍁䅁睑ㅂ䡁䅉杣㥁䙁䅕睕䕂䍁䅷䅉佂䕁䅅児佂䕁䅅䅁䡁䅁䅁杉䅁䕁䄸䅣あ䝁䅫睢畂䡁䅍杏杁䕁䄴兑㥁䕁䄴兖䵂䕁䅷䅁䙂䅁䅁杉䅁䕁䄸䅣あ䝁䅫睢畂䡁䅍杏杁䕁䄴兑㥁䕁䄴兤獂䝁䅷䅁㕁䅁䅁杌䅁䕁䄸䅣あ䝁䅫睢畂䡁䅍杏䑂䡁䅕杣祂䑁䄰睑䉂䕁䅑䅌佂䕁䅅児瑁䍁䄰䅁䱂䅁䅁杓䅁䕁䄸䅣あ䝁䅫睢畂䡁䅍杏䑂䡁䅕杣祂䑁䄰杕求䡁䅁睢祂䡁䅑党歂䍁䅁睑ㅂ䡁䅉杣求䝁䄴睙㕂䍁䅷杔䉂䑁䄰杔䉂䅁䅁免䅁䕁䅷䅁偂䡁䅁䅤灂䝁䄸杢穂䑁䅯睑ㅂ䡁䅉杣㥁䙁䅕睕䕂䍁䅷䅉乂䝁䅅睚㥁䕁䄰兡獂䝁䅷兡療䝁䄴督獁䍁䅁杔䉂䑁䄰兌瑁䅁䅁䅑䅁䙁䅁䅁偂䡁䅁䅤灂䝁䄸杢穂䑁䅯睑ㅂ䡁䅉杣㥁䙁䅕睕䕂䍁䅷䅉乂䝁䅅睚㥁䕁䄰兡獂䝁䅷兡療䝁䄴督獁䍁䅁杔䉂䑁䄰杔噂䍁䄰兌䅁䕁䅧䅁兂䅁䅁睔睂䡁䅑兡療䝁䄴督㙁䕁䅍兤祂䡁䅉児噂䙁䅍䅒獁䍁䅁兔桂䝁䅣児乂䝁䅫䅢獂䝁䅫睢畂䡁䅍䅌杁䕁䄴兑㥁䕁䄴兖䵂䕁䅷䅁䕂䅁䅁䅍䅁䕁䄸䅣あ䝁䅫睢畂䡁䅍杏䑂䡁䅕杣祂䑁䄰兖呂䕁䅑䅌杁䕁䄴兑㥁䍁䄰兌䅁䕁䅅䅁ぁ䅁䅁睔睂䡁䅑兡療䝁䄴督㙁䕁䅍兤祂䡁䅉児噂䙁䅍䅒獁䍁䅁杔䉂䑁䄰杔噂䕁䅷䅔䅁䕁䅉䅁畁䅁䅁睔睂䡁䅑兡療䝁䄴督㙁䕁䅍兤祂䡁䅉児噂䙁䅍䅒獁䕁䄴兑㥁䍁䄰兌䅁䕁䅷䅁捁䅁䅁睔睂䡁䅑兡療䝁䄴督㙁䕁䄴兑㥁䕁䄴兑䅁䑁䅁䅁捁䅁䅁睕兂䙁䄸睑䉂䙁䅍䅓時䕁䅕兕噂䕁䅫杖䅁䑁䄴䅁奁䅁䅁睕兂䙁䄸睑䝂䙁䅁睕時䕁䅕睕啂䅁䅁䅈䅁䍁䅁䅁呂䙁䅁睘䑂䕁䄸兔兂䕁䅅杔婂䙁䄸杔䉂䕁䄰兒䅁䅁䅁䅁慁䅁䅁睕兂䙁䄸䅒䩂䙁䅙睘婂䕁䅫兒䵂䕁䅑䅁乁䅁䅁䅈䅁䙁䅍䅕時䕁䅕村䩂䙁䅑䅒䉂䙁䄸兒呂䙁䅑䅁婁䅁䅁杆䅁䙁䅍䅕時䕁䅕䅕呂䙁䄸兒呂䙁䅑䅁慁䅁䅁䅋䅁䙁䅍䅕時䕁䅣杕偂䙁䅍睕時䕁䄰兑卂䕁䅣兓佂䙁䄸兒呂䙁䅑䅁坁䅁䅁䅍䅁䙁䅍䅕時䕁䅣杕偂䙁䅍睕時䕁䄰兑卂䕁䅣兓佂䙁䄸杔噂䕁䄰睘䙂䙁䅍䅖䅁䉁䅧䅁楁䅁䅁睕兂䙁䄸䅔䉂䙁䅍䅖呂䕁䅅䅔䙂䙁䅁杕䩂䕁䅍兒䅁䅁䅉䅁慁䅁䅁睕兂䙁䄸兔䉂䙁䅉睓䙂䙁䅑睑䉂䙁䅁䅁䭁䅁䅁杈䅁䙁䅍䅕時䙁䅁杕䩂䕁䅍兒時䕁䅍䅔偂䙁䅍兒䅁䙁䄸䅁坁䅁䅁睕兂䙁䄸杕䙂䙁䅙睘䙂䙁䅍䅖䅁䉁䅉䅁捁䅁䅁睕兂䙁䄸䅖偂䙁䅑兑䵂䙁䄸䅒䙂䕁䅉䅖䅁䉁䅁䅁杁䅁䅁睕兂䙁䄸䅖偂䙁䅑兑䵂䙁䄸兒剂䙁䅕兓啂䙁䅫䅁佁䅁䅁䅋䅁䙁䅍䅕時䙁䅑杕䉂䕁䅑兓佂䕁䅣睘䑂䙁䅕杕卂䕁䅕杔䑂䙁䅫䅁䥁䅁䅁杍䅁䙁䅍睙潂䝁䄴党灂䝁䅑党祂䍁䅁杔桂䡁䅑兡療䝁䄴兙獂䍁䅷䅉䩂䝁䄴睙畁䅁䅁䅊䅁䍁䄴䅁啂䕁䅙兓杁䕁䅫杢あ䝁䅕杣畂䝁䅅䅤灂䝁䄸杢桂䝁䅷䅉䩂䝁䄴睙畁䅁䅁允䅁䉁䅉䅁啂䙁䅍䅗㙁䙁䅑杒䩂䕁䅫䅁敁䅁䅁䅃䅁䙁䅕睕䕂䅁䅁杍䅁䑁䅉䅁塂䝁䅕杣畂䝁䅕杣杁䕁䅕杢あ䝁䅕杣睂䡁䅉兡穂䝁䅕督獁䍁䅁兓畂䝁䅍杌䅁䍁䅯䅁啁䅁䅁䅗兂䕁䄸䅌杁䕁䅫杢橂䍁䄴䅁流䅁䅁杄䅁䝁䅍入祁䑁䅁杍ㅁ䅁䅁䅙䅁䅁䄴䅁䩂䙁䅅睘卂䕁䅕杖䅁䝁䅉䅁䥁䅁䅁䅔啂䕁䄰䅁橂䅁䅁䅆䅁䙁䅍䅕時䕁䅕村䩂䙁䅑䅒䉂䅁䅁䅚䅁䉁䅉䅁啂䙁䅍䅗㙁䕁䄸䅖䙂䙁䅧䅁求䅁䅁䅌䅁䕁䄸䅣求䝁䄴䅉啂䝁䅕䅥あ䍁䅁睑療䡁䅉䅣療䡁䅉兙あ䝁䅫睢畂䅁䅁杚䅁䑁䅁䅁偂䡁䅁䅤灂䝁䄸杢穂䑁䅯睑ㅂ䡁䅉杣㥁䕁䅍兑䕂䍁䅷䅉佂䕁䅅児瑁䍁䄰䅁湂䅁䅁䅔䅁䕁䄸䅣あ䝁䅫睢畂䡁䅍杏䑂䡁䅕杣祂䑁䄰睑䉂䕁䅑䅌杁䕁䄰兙湂䑁䄰兔灂䝁䅷䅢灂䝁䄸杢穂䍁䅷䅉佂䕁䅅児瑁䍁䄰䅁潂䅁䅁杈䅁䅁杷允䅁䅁䅑䅁䑁䅁䅷䅁䭁䝁䅕䅁䭁䅁䅧䅁䭁䑁䅕䅁䉁䅁䅁允䅁䅁䅯元䅁䅁杷允䅁䅁䅙䅁䑁䅁䅷䅁䭁䝁䅕䅁䭁䉁䅯䅁䭁䉁䅕䅁䙁䅁䅁䅁杄畨䅚权湂䅁䅁允䅁䅁䅅䅁䙁䉁䅍㉷灬䈴䅚䍄䉁䅁䅁兂䅁䅁䅍䅄䅁䅁䅯党䅁䅁䅯权䅁䅁䅕䅁䅁佁䝃欵䭁䝁䅧䅁䉁䅁䅁允䅁䅁䅕䕈㡺䝵獏啶䵁䅉䅅䅁䙁䅁䅁睁䵁䅁䅁权求䅁䅁权䵁䅁䅁兂䅁䅁䅁䤴浢䅑䅯䅡䅁䅁䅅䅁䉁䅁䅁兂婂⭉楬睬丳䅑杷允䅁䅁䅕䅁䑁䅁䅷䅁䭁䝁䅕䅁䭁䙁䄸䅁䙁䅁䅁䅁杄畨䅚权湂䅁䅁允䅁䅁䅅䅁䙁䥁牘払敧周䄵䍄䉁䅁䅁杂䅁䅁䅍䅄䅁䅁䅯党䅁䅁䅯䅈䅁䅁䅯兆䅁䅁䅕䅁䅁佁䝃欵䭁䝁䅣䅁䉁䅁䅁允䅁䅁䅕㝑慲捡硂䕇䵁䅉䅅䅁䝁䅁䅁睁䵁䅁䅁权求䅁䅁权婁䅁䅁权啁䅁䅁兂䅁䅁䅁䤴浢䅑䅯䅡䅁䅁䅅䅁䉁䅁䅁兂穃㑄㈸の橵䅑杷允䅁䅁䅙䅁䑁䅁䅷䅁䭁䝁䅕䅁䭁䝁䅉䅁䭁䝁䅍䅁䙁䅁䅁䅁杄畨䅚权潂䅁䅁允䅁䅁䅅䅁䙁偁潣塤坣牒䅸䍄䉁䅁䅁杂䅁䅁䅍䅄䅁䅁䅯党䅁䅁䅯杅䅁䅁䅯䅆䅁䅁䅕䅁䅁佁䝃欵䭁䝁䅧䅁䉁䅁䅁允䅁䅁䅕慘き祘偅䕶䵁䅉䅅䅁䝁䅁䅁睁䵁䅁䅁权求䅁䅁权婁䅁䅁权噁䅁䅁兂䅁䅁䅁䤴浢䅑䅯䅡䅁䅁䅅䅁䉁䅁䅁兂䙃畇䅘丵橥䅑杷允䅁䅁䅙䅁䑁䅁䅷䅁䭁䝁䅕䅁䭁䉁䅉䅁䭁䉁䅕䅁䙁䅁䅁䅁杄畨䅚权潂䅁䅁允䅁䅁䅅䅁䙁偁㑳扂浴爫䅴䍄䉁䅁䅁杂䅁䅁䅍䅄䅁䅁䅯党䅁䅁䅯杅䅁䅁䅯兙䅁䅁䅕䅁䅁佁䝃欵䭁䝁䅧䅁䉁䅁䅁允䅁䅁䅕決共婧兊䕶䵁䅉䅅䅁䝁䅁䅁睁䵁䅁䅁权求䅁䅁权歂䅁䅁权橂䅁䅁兂䅁䅁䅁䤴浢䅑䅯䅡䅁䅁䅅䅁䉁䅁䅁兂䱃漱⭓㕋杋䅑杷允䅁䅁䅙䅁䑁䅁䅷䅁䭁䝁䅕䅁䭁䉁䅙䅁䭁䉁䅑䅁䙁䅁䅁䅁杄畨䅚权ㅁ䅁䅁允䅁䅁䅅䅁䭁䑁䅙䅁䵁䅉䅅䅁䝁䅁䅁睁䵁䅁䅁权求䅁䅁权慁䅁䅁权啁䅁䅁兂䅁䅁䅁䤴浢䅑䅯睚䅁䅁䅅䅁䉁䅁䅁兂䡄䙬据㕷噯䅑杷允䅁䅁䅙䅁䑁䅁䅷䅁䭁䝁䅕䅁䭁䉁䅫䅁䭁䝁䅅䅁䙁䅁䅁䅁杄畨䅚权潂䅁䅁允䅁䅁䅅䅁䙁䍁䕩㑱㔫慳䅒䍄䉁䅁䅁杂䅁䅁䅍䅄䅁䅁䅯党䅁䅁䅯杆䅁䅁䅯兙䅁䅁䅕䅁䅁佁䝃欵䭁䑁䅕䅁䉁䅁䅁允䅁䅁䅯李䅁䅁杷允䅁䅁䅙䅁䑁䅁䅷䅁䭁䝁䅕䅁䭁䉁䅯䅁䭁䝁䅅䅁䙁䅁䅁䅁杄畨䅚权湂䅁䅁允䅁䅁䅅䅁䙁䡁愴㍬䱑桍䅬䍄䉁䅁䅁兂䅁䅁䅍䅄䅁䅁䅯党䅁䅁䅯兄䅁䅁䅕䅁䅁佁䝃欵䭁䑁䅕䅁䉁䅁䅁允䅁䅁䅕呋䕇坈㥏ぅ䵁䅉䅅䅁䝁䅁䅁睁䵁䅁䅁权求䅁䅁权捁䅁䅁权啁䅁䅁兂䅁䅁䅁䤴浢䅑䅯睚䅁䅁䅅䅁䉁䅁䅁兂慃坵ㅈ䵴呉䅑杷允䅁䅁䅙䅁䑁䅁䅷䅁䭁䝁䅕䅁䭁䉁䅧䅁䭁䝁䅅䅁䙁䅁䅁䅁杄畨䅚权ㅁ䅁䅁允䅁䅁䅅䅁䭁䑁䅙䅁䵁䅉䅅䅁䝁䅁䅁睁䵁䅁䅁权求䅁䅁权摂䅁䅁权偁䅁䅁兂䅁䅁䅁䤴浢䅑䅯䅡䅁䅁䅅䅁䉁䅁䅁兂湂焳㙊䭵ㅱ䅑杷允䅁䅁䅕䅁䑁䅁䅷䅁䭁䝁䅕䅁䭁䅁䅉䅁䙁䅁䅁䅁杄畨䅚权䱂䅁䅁允䅁䅁䅅䅁䙁䥁牘払敧周䄵䍄䉁䅁䅁杂䅁䅁䅍䅄䅁䅁䅯党䅁䅁䅯䅈䅁䅁䅯兙䅁䅁䅕䅁䅁佁䝃欵䭁䝁䅣䅁䉁䅁䅁允䅁䅁䅯李䅁䅁杷允䅁䅁䅙䅁䑁䅁䅷䅁䭁䝁䅕䅁䭁䙁䄴䅁䭁䅁䄸䅁䙁䅁䅁䅁杄畨䅚权潂䅁䅁允䅁䅁䅅䅁䙁䩁牎灪楷捱䅆䍄䉁䅁䅁杂䅁䅁䅍䅄䅁䅁䅯党䅁䅁䅯充䅁䅁䅯睄䅁䅁䅕䅁䅁佁䝃欵䭁䝁䅧䅁䉁䅁䅁允䅁䅁䅕癶剎㡚奰ね䵁䅉䅅䅁䝁䅁䅁睁䵁䅁䅁权求䅁䅁权坁䅁䅁权噁䅁䅁兂䅁䅁䅁䤴浢䅑䅯兎䅁䅁䅅䅁䉁䅁䅁权㉁䅁䅁䍄䉁䅁䅁杂䅁䅁䅍䅄䅁䅁䅯党䅁䅁䅯䅇䅁䅁䅯䅆䅁䅁䅕䅁䅁佁䝃欵䭁䑁䅕䅁䉁䅁䅁允䅁䅁䅯李䅁䅁杷允䅁䅁䅙䅁䑁䅁䅷䅁䭁䝁䅕䅁䭁䉁䅧䅁䭁䉁䅕䅁䙁䅁䅁䅁杄畨䅚权ㅁ䅁䅁允䅁䅁䅅䅁䭁䑁䅙䅁䵁䅉䅅䅁䑁䅁䅁睁䵁䅁䅁权求䅁䅁权䅁䅁䅁允䅁䅁䅅䅁䭁䝁䅙䅁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</si>
</sst>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mm\.\ d\,\ yyyy"/>
    <numFmt numFmtId="165" formatCode="0.0\x_);\(0.0\x\);&quot;-- &quot;"/>
    <numFmt numFmtId="166" formatCode="&quot;$&quot;#,##0.00_);\(&quot;$&quot;#,##0.00\);&quot;-- &quot;"/>
    <numFmt numFmtId="167" formatCode="&quot;$&quot;#,##0_);\(&quot;$&quot;#,##0\);&quot;-- &quot;"/>
    <numFmt numFmtId="168" formatCode="0.0%_);\(0.0%\);&quot;-- &quot;"/>
    <numFmt numFmtId="169" formatCode="&quot;$&quot;#,##0.0_);\(&quot;$&quot;#,##0.0\);&quot;-- &quot;"/>
    <numFmt numFmtId="170" formatCode="#,##0.0%_);\(#,##0.0%\);&quot;--&quot;"/>
    <numFmt numFmtId="171" formatCode="#,##0_);\(#,##0\);&quot;--&quot;"/>
    <numFmt numFmtId="172" formatCode="#,##0.0_);\(#,##0.0\);&quot;--&quot;"/>
    <numFmt numFmtId="180" formatCode="#,##0.0\x_);\(#,##0.0\x\);&quot;--&quot;"/>
  </numFmts>
  <fonts count="20" x14ac:knownFonts="1">
    <font>
      <sz val="11"/>
      <color theme="1"/>
      <name val="Calibri"/>
      <family val="2"/>
      <scheme val="minor"/>
    </font>
    <font>
      <sz val="11"/>
      <color theme="1"/>
      <name val="Calibri"/>
      <family val="2"/>
      <scheme val="minor"/>
    </font>
    <font>
      <sz val="9"/>
      <color theme="1"/>
      <name val="Arial"/>
      <family val="2"/>
    </font>
    <font>
      <sz val="9"/>
      <color rgb="FF0000FF"/>
      <name val="Palatino Linotype"/>
      <family val="1"/>
    </font>
    <font>
      <sz val="9"/>
      <color theme="1"/>
      <name val="Palatino Linotype"/>
      <family val="1"/>
    </font>
    <font>
      <b/>
      <i/>
      <sz val="9"/>
      <color theme="0"/>
      <name val="Palatino Linotype"/>
      <family val="1"/>
    </font>
    <font>
      <sz val="9"/>
      <color theme="0"/>
      <name val="Palatino Linotype"/>
      <family val="1"/>
    </font>
    <font>
      <b/>
      <sz val="9"/>
      <color theme="0"/>
      <name val="Palatino Linotype"/>
      <family val="1"/>
    </font>
    <font>
      <b/>
      <u val="singleAccounting"/>
      <sz val="9"/>
      <color theme="0"/>
      <name val="Palatino Linotype"/>
      <family val="1"/>
    </font>
    <font>
      <sz val="11"/>
      <color theme="1"/>
      <name val="Palatino Linotype"/>
      <family val="2"/>
    </font>
    <font>
      <sz val="9"/>
      <color rgb="FF000000"/>
      <name val="Palatino Linotype"/>
      <family val="1"/>
    </font>
    <font>
      <sz val="9"/>
      <color rgb="FF800080"/>
      <name val="Palatino Linotype"/>
      <family val="1"/>
    </font>
    <font>
      <sz val="9"/>
      <name val="Palatino Linotype"/>
      <family val="1"/>
    </font>
    <font>
      <b/>
      <sz val="9"/>
      <color theme="1"/>
      <name val="Palatino Linotype"/>
      <family val="1"/>
    </font>
    <font>
      <b/>
      <sz val="9"/>
      <color rgb="FF0000FF"/>
      <name val="Palatino Linotype"/>
      <family val="1"/>
    </font>
    <font>
      <b/>
      <sz val="9"/>
      <color rgb="FF000000"/>
      <name val="Palatino Linotype"/>
      <family val="1"/>
    </font>
    <font>
      <b/>
      <u val="singleAccounting"/>
      <sz val="9"/>
      <color theme="1"/>
      <name val="Palatino Linotype"/>
      <family val="1"/>
    </font>
    <font>
      <u val="singleAccounting"/>
      <sz val="9"/>
      <color theme="1"/>
      <name val="Palatino Linotype"/>
      <family val="1"/>
    </font>
    <font>
      <sz val="6"/>
      <color rgb="FF000000"/>
      <name val="Arial"/>
      <family val="2"/>
    </font>
    <font>
      <b/>
      <u/>
      <sz val="9"/>
      <color rgb="FF000000"/>
      <name val="Palatino Linotype"/>
      <family val="1"/>
    </font>
  </fonts>
  <fills count="8">
    <fill>
      <patternFill patternType="none"/>
    </fill>
    <fill>
      <patternFill patternType="gray125"/>
    </fill>
    <fill>
      <patternFill patternType="solid">
        <fgColor rgb="FFFFFFCC"/>
      </patternFill>
    </fill>
    <fill>
      <patternFill patternType="solid">
        <fgColor theme="4"/>
        <bgColor indexed="64"/>
      </patternFill>
    </fill>
    <fill>
      <patternFill patternType="solid">
        <fgColor theme="9"/>
        <bgColor indexed="64"/>
      </patternFill>
    </fill>
    <fill>
      <patternFill patternType="solid">
        <fgColor theme="8"/>
        <bgColor indexed="64"/>
      </patternFill>
    </fill>
    <fill>
      <patternFill patternType="solid">
        <fgColor rgb="FFFFFFCC"/>
        <bgColor indexed="64"/>
      </patternFill>
    </fill>
    <fill>
      <patternFill patternType="solid">
        <fgColor rgb="FFFFFFCC"/>
        <bgColor rgb="FF000000"/>
      </patternFill>
    </fill>
  </fills>
  <borders count="8">
    <border>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right/>
      <top/>
      <bottom style="thin">
        <color rgb="FF000000"/>
      </bottom>
      <diagonal/>
    </border>
    <border>
      <left/>
      <right/>
      <top style="thin">
        <color indexed="64"/>
      </top>
      <bottom/>
      <diagonal/>
    </border>
    <border>
      <left/>
      <right/>
      <top style="thin">
        <color rgb="FF000000"/>
      </top>
      <bottom/>
      <diagonal/>
    </border>
  </borders>
  <cellStyleXfs count="5">
    <xf numFmtId="0" fontId="0" fillId="0" borderId="0"/>
    <xf numFmtId="0" fontId="1" fillId="2" borderId="1" applyNumberFormat="0" applyFont="0" applyAlignment="0" applyProtection="0"/>
    <xf numFmtId="0" fontId="2" fillId="0" borderId="0"/>
    <xf numFmtId="0" fontId="9" fillId="0" borderId="0"/>
    <xf numFmtId="0" fontId="2" fillId="0" borderId="0"/>
  </cellStyleXfs>
  <cellXfs count="88">
    <xf numFmtId="0" fontId="0" fillId="0" borderId="0" xfId="0"/>
    <xf numFmtId="0" fontId="3" fillId="0" borderId="0" xfId="2" applyFont="1" applyAlignment="1">
      <alignment horizontal="center"/>
    </xf>
    <xf numFmtId="0" fontId="4" fillId="0" borderId="0" xfId="2" applyFont="1"/>
    <xf numFmtId="0" fontId="5" fillId="3" borderId="0" xfId="2" applyFont="1" applyFill="1"/>
    <xf numFmtId="0" fontId="6" fillId="3" borderId="0" xfId="2" applyFont="1" applyFill="1"/>
    <xf numFmtId="0" fontId="7" fillId="3" borderId="0" xfId="2" applyFont="1" applyFill="1" applyAlignment="1">
      <alignment horizontal="center"/>
    </xf>
    <xf numFmtId="0" fontId="8" fillId="3" borderId="0" xfId="2" applyFont="1" applyFill="1" applyAlignment="1">
      <alignment horizontal="centerContinuous"/>
    </xf>
    <xf numFmtId="0" fontId="7" fillId="3" borderId="0" xfId="2" applyFont="1" applyFill="1"/>
    <xf numFmtId="15" fontId="7" fillId="3" borderId="0" xfId="2" applyNumberFormat="1" applyFont="1" applyFill="1" applyAlignment="1">
      <alignment horizontal="center"/>
    </xf>
    <xf numFmtId="0" fontId="3" fillId="0" borderId="0" xfId="2" applyFont="1" applyAlignment="1">
      <alignment horizontal="center" vertical="center"/>
    </xf>
    <xf numFmtId="0" fontId="4" fillId="0" borderId="0" xfId="2" applyFont="1" applyAlignment="1">
      <alignment vertical="center"/>
    </xf>
    <xf numFmtId="0" fontId="3" fillId="0" borderId="0" xfId="2" applyFont="1" applyAlignment="1">
      <alignment horizontal="left" vertical="center"/>
    </xf>
    <xf numFmtId="166" fontId="10" fillId="0" borderId="0" xfId="3" applyNumberFormat="1" applyFont="1" applyAlignment="1">
      <alignment horizontal="right" vertical="center"/>
    </xf>
    <xf numFmtId="166" fontId="11" fillId="0" borderId="0" xfId="2" applyNumberFormat="1" applyFont="1" applyAlignment="1">
      <alignment horizontal="right" vertical="center"/>
    </xf>
    <xf numFmtId="166" fontId="11" fillId="0" borderId="0" xfId="2" applyNumberFormat="1" applyFont="1" applyAlignment="1">
      <alignment horizontal="right" vertical="center" indent="2"/>
    </xf>
    <xf numFmtId="167" fontId="11" fillId="0" borderId="0" xfId="2" applyNumberFormat="1" applyFont="1" applyAlignment="1">
      <alignment vertical="center"/>
    </xf>
    <xf numFmtId="165" fontId="10" fillId="0" borderId="0" xfId="0" applyNumberFormat="1" applyFont="1" applyAlignment="1">
      <alignment horizontal="right" vertical="center" indent="1"/>
    </xf>
    <xf numFmtId="168" fontId="4" fillId="0" borderId="0" xfId="2" applyNumberFormat="1" applyFont="1" applyAlignment="1">
      <alignment horizontal="right" vertical="center" indent="1"/>
    </xf>
    <xf numFmtId="165" fontId="4" fillId="0" borderId="0" xfId="2" applyNumberFormat="1" applyFont="1" applyAlignment="1">
      <alignment horizontal="right" vertical="center" indent="1"/>
    </xf>
    <xf numFmtId="167" fontId="11" fillId="0" borderId="0" xfId="2" applyNumberFormat="1" applyFont="1" applyAlignment="1">
      <alignment horizontal="right" vertical="center"/>
    </xf>
    <xf numFmtId="169" fontId="11" fillId="0" borderId="0" xfId="2" applyNumberFormat="1" applyFont="1" applyAlignment="1">
      <alignment horizontal="right" vertical="center"/>
    </xf>
    <xf numFmtId="166" fontId="12" fillId="0" borderId="0" xfId="3" applyNumberFormat="1" applyFont="1" applyAlignment="1">
      <alignment horizontal="right" vertical="center"/>
    </xf>
    <xf numFmtId="167" fontId="11" fillId="0" borderId="0" xfId="2" applyNumberFormat="1" applyFont="1" applyAlignment="1">
      <alignment horizontal="right" vertical="center" indent="1"/>
    </xf>
    <xf numFmtId="167" fontId="11" fillId="0" borderId="0" xfId="0" applyNumberFormat="1" applyFont="1" applyAlignment="1">
      <alignment horizontal="right" vertical="center" indent="1"/>
    </xf>
    <xf numFmtId="0" fontId="13" fillId="4" borderId="2" xfId="2" applyFont="1" applyFill="1" applyBorder="1" applyAlignment="1">
      <alignment vertical="center"/>
    </xf>
    <xf numFmtId="0" fontId="13" fillId="4" borderId="2" xfId="2" applyFont="1" applyFill="1" applyBorder="1" applyAlignment="1">
      <alignment horizontal="right" vertical="center"/>
    </xf>
    <xf numFmtId="165" fontId="13" fillId="4" borderId="2" xfId="2" applyNumberFormat="1" applyFont="1" applyFill="1" applyBorder="1" applyAlignment="1">
      <alignment horizontal="right" vertical="center" indent="1"/>
    </xf>
    <xf numFmtId="169" fontId="4" fillId="0" borderId="0" xfId="2" applyNumberFormat="1" applyFont="1" applyAlignment="1">
      <alignment vertical="center"/>
    </xf>
    <xf numFmtId="0" fontId="4" fillId="0" borderId="0" xfId="2" applyFont="1" applyAlignment="1">
      <alignment horizontal="right" vertical="center"/>
    </xf>
    <xf numFmtId="0" fontId="14" fillId="0" borderId="0" xfId="2" applyFont="1" applyAlignment="1">
      <alignment horizontal="center" vertical="center"/>
    </xf>
    <xf numFmtId="0" fontId="13" fillId="0" borderId="0" xfId="2" applyFont="1" applyAlignment="1">
      <alignment vertical="center"/>
    </xf>
    <xf numFmtId="0" fontId="7" fillId="3" borderId="0" xfId="2" applyFont="1" applyFill="1" applyAlignment="1">
      <alignment horizontal="centerContinuous"/>
    </xf>
    <xf numFmtId="11" fontId="7" fillId="3" borderId="0" xfId="2" applyNumberFormat="1" applyFont="1" applyFill="1" applyAlignment="1">
      <alignment horizontal="center"/>
    </xf>
    <xf numFmtId="168" fontId="10" fillId="0" borderId="0" xfId="2" applyNumberFormat="1" applyFont="1" applyAlignment="1">
      <alignment horizontal="right" vertical="center" indent="1"/>
    </xf>
    <xf numFmtId="0" fontId="3" fillId="6" borderId="3" xfId="3" applyFont="1" applyFill="1" applyBorder="1" applyAlignment="1">
      <alignment horizontal="center" vertical="center"/>
    </xf>
    <xf numFmtId="165" fontId="15" fillId="4" borderId="2" xfId="2" applyNumberFormat="1" applyFont="1" applyFill="1" applyBorder="1" applyAlignment="1">
      <alignment horizontal="right" vertical="center" indent="1"/>
    </xf>
    <xf numFmtId="168" fontId="13" fillId="4" borderId="2" xfId="2" applyNumberFormat="1" applyFont="1" applyFill="1" applyBorder="1" applyAlignment="1">
      <alignment horizontal="right" vertical="center" indent="1"/>
    </xf>
    <xf numFmtId="167" fontId="10" fillId="0" borderId="0" xfId="2" applyNumberFormat="1" applyFont="1" applyAlignment="1">
      <alignment horizontal="right" vertical="center"/>
    </xf>
    <xf numFmtId="0" fontId="4" fillId="0" borderId="0" xfId="2" applyFont="1" applyAlignment="1">
      <alignment horizontal="right"/>
    </xf>
    <xf numFmtId="0" fontId="16" fillId="0" borderId="0" xfId="2" applyFont="1" applyAlignment="1">
      <alignment horizontal="centerContinuous"/>
    </xf>
    <xf numFmtId="166" fontId="11" fillId="0" borderId="0" xfId="2" applyNumberFormat="1" applyFont="1" applyAlignment="1">
      <alignment horizontal="center" vertical="center"/>
    </xf>
    <xf numFmtId="0" fontId="13" fillId="4" borderId="2" xfId="2" applyFont="1" applyFill="1" applyBorder="1" applyAlignment="1">
      <alignment horizontal="center" vertical="center"/>
    </xf>
    <xf numFmtId="0" fontId="4" fillId="0" borderId="0" xfId="2" applyFont="1" applyAlignment="1">
      <alignment horizontal="center" vertical="center"/>
    </xf>
    <xf numFmtId="0" fontId="8" fillId="3" borderId="0" xfId="4" applyFont="1" applyFill="1" applyAlignment="1">
      <alignment horizontal="centerContinuous" vertical="top"/>
    </xf>
    <xf numFmtId="170" fontId="11" fillId="0" borderId="0" xfId="2" applyNumberFormat="1" applyFont="1" applyAlignment="1">
      <alignment horizontal="right" vertical="center"/>
    </xf>
    <xf numFmtId="170" fontId="4" fillId="0" borderId="0" xfId="2" applyNumberFormat="1" applyFont="1" applyAlignment="1">
      <alignment vertical="center"/>
    </xf>
    <xf numFmtId="170" fontId="13" fillId="0" borderId="0" xfId="2" applyNumberFormat="1" applyFont="1" applyAlignment="1">
      <alignment vertical="center"/>
    </xf>
    <xf numFmtId="171" fontId="11" fillId="0" borderId="0" xfId="2" applyNumberFormat="1" applyFont="1" applyAlignment="1">
      <alignment horizontal="right" vertical="center"/>
    </xf>
    <xf numFmtId="171" fontId="4" fillId="0" borderId="0" xfId="2" applyNumberFormat="1" applyFont="1" applyAlignment="1">
      <alignment vertical="center"/>
    </xf>
    <xf numFmtId="171" fontId="13" fillId="0" borderId="0" xfId="2" applyNumberFormat="1" applyFont="1" applyAlignment="1">
      <alignment vertical="center"/>
    </xf>
    <xf numFmtId="0" fontId="7" fillId="5" borderId="0" xfId="2" applyFont="1" applyFill="1" applyAlignment="1">
      <alignment vertical="center"/>
    </xf>
    <xf numFmtId="165" fontId="7" fillId="5" borderId="0" xfId="2" applyNumberFormat="1" applyFont="1" applyFill="1" applyAlignment="1">
      <alignment horizontal="right" vertical="center" indent="1"/>
    </xf>
    <xf numFmtId="168" fontId="7" fillId="5" borderId="0" xfId="2" applyNumberFormat="1" applyFont="1" applyFill="1" applyAlignment="1">
      <alignment horizontal="right" vertical="center" indent="1"/>
    </xf>
    <xf numFmtId="0" fontId="4" fillId="0" borderId="6" xfId="2" applyFont="1" applyBorder="1" applyAlignment="1">
      <alignment vertical="center"/>
    </xf>
    <xf numFmtId="0" fontId="4" fillId="0" borderId="6" xfId="2" applyFont="1" applyBorder="1" applyAlignment="1">
      <alignment horizontal="right" vertical="center"/>
    </xf>
    <xf numFmtId="0" fontId="7" fillId="5" borderId="7" xfId="2" applyFont="1" applyFill="1" applyBorder="1" applyAlignment="1">
      <alignment vertical="center"/>
    </xf>
    <xf numFmtId="165" fontId="7" fillId="5" borderId="7" xfId="2" applyNumberFormat="1" applyFont="1" applyFill="1" applyBorder="1" applyAlignment="1">
      <alignment horizontal="right" vertical="center" indent="1"/>
    </xf>
    <xf numFmtId="168" fontId="7" fillId="5" borderId="7" xfId="2" applyNumberFormat="1" applyFont="1" applyFill="1" applyBorder="1" applyAlignment="1">
      <alignment horizontal="right" vertical="center" indent="1"/>
    </xf>
    <xf numFmtId="0" fontId="7" fillId="5" borderId="5" xfId="2" applyFont="1" applyFill="1" applyBorder="1" applyAlignment="1">
      <alignment vertical="center"/>
    </xf>
    <xf numFmtId="165" fontId="7" fillId="5" borderId="5" xfId="2" applyNumberFormat="1" applyFont="1" applyFill="1" applyBorder="1" applyAlignment="1">
      <alignment horizontal="right" vertical="center" indent="1"/>
    </xf>
    <xf numFmtId="168" fontId="7" fillId="5" borderId="5" xfId="2" applyNumberFormat="1" applyFont="1" applyFill="1" applyBorder="1" applyAlignment="1">
      <alignment horizontal="right" vertical="center" indent="1"/>
    </xf>
    <xf numFmtId="11" fontId="7" fillId="3" borderId="0" xfId="2" quotePrefix="1" applyNumberFormat="1" applyFont="1" applyFill="1" applyAlignment="1">
      <alignment horizontal="center"/>
    </xf>
    <xf numFmtId="170" fontId="12" fillId="0" borderId="0" xfId="2" applyNumberFormat="1" applyFont="1" applyAlignment="1">
      <alignment horizontal="right" vertical="center"/>
    </xf>
    <xf numFmtId="170" fontId="12" fillId="0" borderId="0" xfId="2" applyNumberFormat="1" applyFont="1" applyAlignment="1">
      <alignment vertical="center"/>
    </xf>
    <xf numFmtId="0" fontId="17" fillId="0" borderId="0" xfId="2" applyFont="1" applyAlignment="1">
      <alignment horizontal="centerContinuous"/>
    </xf>
    <xf numFmtId="172" fontId="10" fillId="0" borderId="0" xfId="2" applyNumberFormat="1" applyFont="1" applyAlignment="1">
      <alignment horizontal="right" vertical="center"/>
    </xf>
    <xf numFmtId="172" fontId="11" fillId="0" borderId="0" xfId="2" applyNumberFormat="1" applyFont="1" applyAlignment="1">
      <alignment horizontal="right" vertical="center"/>
    </xf>
    <xf numFmtId="172" fontId="4" fillId="0" borderId="0" xfId="2" applyNumberFormat="1" applyFont="1" applyAlignment="1">
      <alignment vertical="center"/>
    </xf>
    <xf numFmtId="0" fontId="11" fillId="0" borderId="0" xfId="2" applyFont="1" applyAlignment="1">
      <alignment horizontal="right" vertical="center"/>
    </xf>
    <xf numFmtId="4" fontId="18" fillId="0" borderId="0" xfId="0" applyNumberFormat="1" applyFont="1" applyAlignment="1">
      <alignment horizontal="right"/>
    </xf>
    <xf numFmtId="11" fontId="7" fillId="3" borderId="0" xfId="2" applyNumberFormat="1" applyFont="1" applyFill="1" applyAlignment="1">
      <alignment horizontal="left"/>
    </xf>
    <xf numFmtId="0" fontId="19" fillId="0" borderId="0" xfId="2" applyFont="1" applyAlignment="1">
      <alignment vertical="center"/>
    </xf>
    <xf numFmtId="0" fontId="10" fillId="0" borderId="0" xfId="2" applyFont="1" applyAlignment="1">
      <alignment horizontal="left" vertical="center"/>
    </xf>
    <xf numFmtId="0" fontId="3" fillId="7" borderId="3" xfId="1" applyNumberFormat="1" applyFont="1" applyFill="1" applyBorder="1" applyAlignment="1">
      <alignment horizontal="center" vertical="center"/>
    </xf>
    <xf numFmtId="170" fontId="7" fillId="5" borderId="7" xfId="2" applyNumberFormat="1" applyFont="1" applyFill="1" applyBorder="1" applyAlignment="1">
      <alignment horizontal="right" vertical="center" indent="1"/>
    </xf>
    <xf numFmtId="170" fontId="7" fillId="5" borderId="0" xfId="2" applyNumberFormat="1" applyFont="1" applyFill="1" applyAlignment="1">
      <alignment horizontal="right" vertical="center" indent="1"/>
    </xf>
    <xf numFmtId="170" fontId="7" fillId="5" borderId="5" xfId="2" applyNumberFormat="1" applyFont="1" applyFill="1" applyBorder="1" applyAlignment="1">
      <alignment horizontal="right" vertical="center" indent="1"/>
    </xf>
    <xf numFmtId="164" fontId="10" fillId="2" borderId="4" xfId="1" applyNumberFormat="1" applyFont="1" applyBorder="1" applyAlignment="1">
      <alignment horizontal="center" vertical="center"/>
    </xf>
    <xf numFmtId="0" fontId="3" fillId="2" borderId="3" xfId="1" applyNumberFormat="1" applyFont="1" applyBorder="1" applyAlignment="1">
      <alignment horizontal="center" vertical="center"/>
    </xf>
    <xf numFmtId="0" fontId="16" fillId="0" borderId="0" xfId="2" applyFont="1" applyAlignment="1">
      <alignment horizontal="centerContinuous" vertical="center"/>
    </xf>
    <xf numFmtId="165" fontId="3" fillId="2" borderId="4" xfId="1" applyNumberFormat="1" applyFont="1" applyBorder="1" applyAlignment="1">
      <alignment horizontal="right" vertical="center"/>
    </xf>
    <xf numFmtId="165" fontId="3" fillId="2" borderId="3" xfId="1" applyNumberFormat="1" applyFont="1" applyBorder="1" applyAlignment="1">
      <alignment horizontal="right" vertical="center"/>
    </xf>
    <xf numFmtId="170" fontId="10" fillId="0" borderId="0" xfId="2" applyNumberFormat="1" applyFont="1"/>
    <xf numFmtId="180" fontId="10" fillId="0" borderId="0" xfId="2" applyNumberFormat="1" applyFont="1" applyAlignment="1">
      <alignment horizontal="right" vertical="center" indent="1"/>
    </xf>
    <xf numFmtId="180" fontId="13" fillId="4" borderId="2" xfId="2" applyNumberFormat="1" applyFont="1" applyFill="1" applyBorder="1" applyAlignment="1">
      <alignment horizontal="right" vertical="center" indent="1"/>
    </xf>
    <xf numFmtId="180" fontId="7" fillId="5" borderId="7" xfId="2" applyNumberFormat="1" applyFont="1" applyFill="1" applyBorder="1" applyAlignment="1">
      <alignment horizontal="right" vertical="center" indent="1"/>
    </xf>
    <xf numFmtId="180" fontId="7" fillId="5" borderId="0" xfId="2" applyNumberFormat="1" applyFont="1" applyFill="1" applyAlignment="1">
      <alignment horizontal="right" vertical="center" indent="1"/>
    </xf>
    <xf numFmtId="180" fontId="7" fillId="5" borderId="5" xfId="2" applyNumberFormat="1" applyFont="1" applyFill="1" applyBorder="1" applyAlignment="1">
      <alignment horizontal="right" vertical="center" indent="1"/>
    </xf>
  </cellXfs>
  <cellStyles count="5">
    <cellStyle name="Normal" xfId="0" builtinId="0"/>
    <cellStyle name="Normal 2" xfId="2" xr:uid="{00000000-0005-0000-0000-000001000000}"/>
    <cellStyle name="Normal 2 2 14" xfId="3" xr:uid="{00000000-0005-0000-0000-000002000000}"/>
    <cellStyle name="Normal 2 3" xfId="4" xr:uid="{1DC0D5DA-9B95-4ABB-BD56-633985D4BCF5}"/>
    <cellStyle name="Note" xfId="1" builtinId="10"/>
  </cellStyles>
  <dxfs count="9">
    <dxf>
      <font>
        <color rgb="FF9C0006"/>
      </font>
      <fill>
        <patternFill>
          <bgColor rgb="FFFFC7CE"/>
        </patternFill>
      </fill>
    </dxf>
    <dxf>
      <font>
        <color rgb="FF9C0006"/>
      </font>
      <fill>
        <patternFill>
          <bgColor rgb="FFFFC7CE"/>
        </patternFill>
      </fill>
    </dxf>
    <dxf>
      <numFmt numFmtId="173" formatCode="\C&quot;$&quot;#,##0.00_);\(&quot;$&quot;#,##0.00\)"/>
    </dxf>
    <dxf>
      <numFmt numFmtId="174" formatCode="[$€-2]#,##0.00_)"/>
    </dxf>
    <dxf>
      <numFmt numFmtId="173" formatCode="\C&quot;$&quot;#,##0.00_);\(&quot;$&quot;#,##0.00\)"/>
    </dxf>
    <dxf>
      <numFmt numFmtId="174" formatCode="[$€-2]#,##0.00_)"/>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1. INFOR (New)">
      <a:dk1>
        <a:sysClr val="windowText" lastClr="000000"/>
      </a:dk1>
      <a:lt1>
        <a:sysClr val="window" lastClr="FFFFFF"/>
      </a:lt1>
      <a:dk2>
        <a:srgbClr val="000000"/>
      </a:dk2>
      <a:lt2>
        <a:srgbClr val="FFFFFF"/>
      </a:lt2>
      <a:accent1>
        <a:srgbClr val="0E213F"/>
      </a:accent1>
      <a:accent2>
        <a:srgbClr val="46566E"/>
      </a:accent2>
      <a:accent3>
        <a:srgbClr val="ADB9CA"/>
      </a:accent3>
      <a:accent4>
        <a:srgbClr val="A4844B"/>
      </a:accent4>
      <a:accent5>
        <a:srgbClr val="767171"/>
      </a:accent5>
      <a:accent6>
        <a:srgbClr val="E5E3E3"/>
      </a:accent6>
      <a:hlink>
        <a:srgbClr val="800000"/>
      </a:hlink>
      <a:folHlink>
        <a:srgbClr val="33330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8CC18-82C1-4217-8E64-2C394CDCE557}">
  <dimension ref="A1"/>
  <sheetViews>
    <sheetView workbookViewId="0"/>
  </sheetViews>
  <sheetFormatPr defaultRowHeight="15" x14ac:dyDescent="0.25"/>
  <sheetData>
    <row r="1" spans="1:1" x14ac:dyDescent="0.25">
      <c r="A1"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F42"/>
  <sheetViews>
    <sheetView showGridLines="0" tabSelected="1" view="pageBreakPreview" zoomScale="85" zoomScaleNormal="85" zoomScaleSheetLayoutView="85" workbookViewId="0">
      <pane xSplit="6" ySplit="7" topLeftCell="J8" activePane="bottomRight" state="frozen"/>
      <selection pane="topRight" activeCell="G1" sqref="G1"/>
      <selection pane="bottomLeft" activeCell="A11" sqref="A11"/>
      <selection pane="bottomRight" activeCell="B3" sqref="B3"/>
    </sheetView>
  </sheetViews>
  <sheetFormatPr defaultColWidth="9.5703125" defaultRowHeight="20.100000000000001" customHeight="1" outlineLevelRow="1" outlineLevelCol="1" x14ac:dyDescent="0.3"/>
  <cols>
    <col min="1" max="1" width="2.7109375" style="2" customWidth="1"/>
    <col min="2" max="2" width="19.28515625" style="1" customWidth="1"/>
    <col min="3" max="3" width="2.7109375" style="2" customWidth="1"/>
    <col min="4" max="6" width="11.42578125" style="2" customWidth="1"/>
    <col min="7" max="9" width="11.42578125" style="2" hidden="1" customWidth="1" outlineLevel="1"/>
    <col min="10" max="10" width="11.42578125" style="2" customWidth="1" collapsed="1"/>
    <col min="11" max="12" width="11.140625" style="2" customWidth="1"/>
    <col min="13" max="21" width="11.42578125" style="2" customWidth="1"/>
    <col min="22" max="37" width="11.42578125" style="2" hidden="1" customWidth="1" outlineLevel="1"/>
    <col min="38" max="38" width="65.7109375" style="2" customWidth="1" collapsed="1"/>
    <col min="39" max="39" width="2.7109375" style="2" customWidth="1"/>
    <col min="40" max="43" width="9.5703125" style="2"/>
    <col min="44" max="44" width="1.5703125" style="2" customWidth="1"/>
    <col min="45" max="48" width="9.5703125" style="2"/>
    <col min="49" max="49" width="1.5703125" style="2" customWidth="1"/>
    <col min="50" max="52" width="9.5703125" style="2"/>
    <col min="53" max="53" width="1.5703125" style="2" customWidth="1"/>
    <col min="54" max="56" width="9.5703125" style="2"/>
    <col min="57" max="57" width="1.5703125" style="2" customWidth="1"/>
    <col min="58" max="63" width="9.5703125" style="2"/>
    <col min="64" max="64" width="1.5703125" style="2" customWidth="1"/>
    <col min="65" max="67" width="9.5703125" style="2" customWidth="1"/>
    <col min="68" max="68" width="1.5703125" style="2" customWidth="1"/>
    <col min="69" max="72" width="9.5703125" style="2" customWidth="1"/>
    <col min="73" max="73" width="1.5703125" style="2" customWidth="1"/>
    <col min="74" max="76" width="9.5703125" style="2" customWidth="1"/>
    <col min="77" max="77" width="1.5703125" style="2" customWidth="1"/>
    <col min="78" max="80" width="9.5703125" style="2" customWidth="1"/>
    <col min="81" max="81" width="1.5703125" style="2" customWidth="1"/>
    <col min="82" max="84" width="9.5703125" style="2" customWidth="1"/>
    <col min="85" max="16384" width="9.5703125" style="2"/>
  </cols>
  <sheetData>
    <row r="1" spans="2:84" ht="15" customHeight="1" x14ac:dyDescent="0.3"/>
    <row r="2" spans="2:84" ht="15" customHeight="1" outlineLevel="1" x14ac:dyDescent="0.3">
      <c r="E2" s="10" t="s">
        <v>45</v>
      </c>
      <c r="F2" s="77">
        <f ca="1">TODAY()-1</f>
        <v>46135</v>
      </c>
      <c r="K2" s="10"/>
      <c r="L2" s="79" t="s">
        <v>1</v>
      </c>
      <c r="M2" s="79"/>
      <c r="N2" s="79"/>
      <c r="O2" s="79"/>
      <c r="P2" s="79" t="s">
        <v>2</v>
      </c>
      <c r="Q2" s="79"/>
      <c r="R2" s="79"/>
      <c r="S2" s="79"/>
    </row>
    <row r="3" spans="2:84" ht="15" customHeight="1" outlineLevel="1" x14ac:dyDescent="0.3">
      <c r="E3" s="10" t="s">
        <v>0</v>
      </c>
      <c r="F3" s="78" t="s">
        <v>53</v>
      </c>
      <c r="G3" s="38"/>
      <c r="K3" s="10" t="s">
        <v>3</v>
      </c>
      <c r="L3" s="80">
        <v>0</v>
      </c>
      <c r="M3" s="80">
        <v>0</v>
      </c>
      <c r="N3" s="80">
        <v>0</v>
      </c>
      <c r="O3" s="80">
        <v>0</v>
      </c>
      <c r="P3" s="80">
        <v>0</v>
      </c>
      <c r="Q3" s="80">
        <v>0</v>
      </c>
      <c r="R3" s="80">
        <v>0</v>
      </c>
      <c r="S3" s="80">
        <v>0</v>
      </c>
      <c r="AL3" s="69"/>
    </row>
    <row r="4" spans="2:84" ht="15" customHeight="1" outlineLevel="1" x14ac:dyDescent="0.3">
      <c r="E4" s="10" t="s">
        <v>46</v>
      </c>
      <c r="F4" s="73" t="s">
        <v>47</v>
      </c>
      <c r="K4" s="10" t="s">
        <v>4</v>
      </c>
      <c r="L4" s="81">
        <v>20</v>
      </c>
      <c r="M4" s="81">
        <v>20</v>
      </c>
      <c r="N4" s="81">
        <v>20</v>
      </c>
      <c r="O4" s="81">
        <v>20</v>
      </c>
      <c r="P4" s="81">
        <v>50</v>
      </c>
      <c r="Q4" s="81">
        <v>50</v>
      </c>
      <c r="R4" s="81">
        <v>50</v>
      </c>
      <c r="S4" s="81">
        <v>50</v>
      </c>
      <c r="AC4" s="82"/>
    </row>
    <row r="5" spans="2:84" ht="15" customHeight="1" x14ac:dyDescent="0.45">
      <c r="BR5" s="39" t="s">
        <v>42</v>
      </c>
      <c r="BS5" s="64"/>
      <c r="BT5" s="64"/>
      <c r="BU5" s="64"/>
      <c r="BV5" s="64"/>
      <c r="BW5" s="64"/>
      <c r="BX5" s="64"/>
      <c r="BZ5" s="39" t="s">
        <v>41</v>
      </c>
      <c r="CA5" s="39"/>
      <c r="CB5" s="39"/>
      <c r="CC5" s="39"/>
      <c r="CD5" s="39"/>
      <c r="CE5" s="39"/>
      <c r="CF5" s="39"/>
    </row>
    <row r="6" spans="2:84" ht="16.350000000000001" customHeight="1" x14ac:dyDescent="0.45">
      <c r="D6" s="3" t="str">
        <f>"(In "&amp;IF(F3="USD","US","C")&amp;"$MM, unless otherwise noted)"</f>
        <v>(In C$MM, unless otherwise noted)</v>
      </c>
      <c r="E6" s="4"/>
      <c r="F6" s="4"/>
      <c r="G6" s="5" t="s">
        <v>5</v>
      </c>
      <c r="H6" s="5" t="s">
        <v>5</v>
      </c>
      <c r="I6" s="5" t="s">
        <v>6</v>
      </c>
      <c r="J6" s="5" t="s">
        <v>7</v>
      </c>
      <c r="K6" s="5" t="s">
        <v>8</v>
      </c>
      <c r="L6" s="6" t="s">
        <v>9</v>
      </c>
      <c r="M6" s="6"/>
      <c r="N6" s="6"/>
      <c r="O6" s="6"/>
      <c r="P6" s="6" t="s">
        <v>10</v>
      </c>
      <c r="Q6" s="6"/>
      <c r="R6" s="6"/>
      <c r="S6" s="6"/>
      <c r="T6" s="6" t="s">
        <v>30</v>
      </c>
      <c r="U6" s="31"/>
      <c r="V6" s="6" t="s">
        <v>11</v>
      </c>
      <c r="W6" s="6"/>
      <c r="X6" s="6"/>
      <c r="Y6" s="6" t="s">
        <v>28</v>
      </c>
      <c r="Z6" s="6"/>
      <c r="AA6" s="6"/>
      <c r="AB6" s="6" t="s">
        <v>29</v>
      </c>
      <c r="AC6" s="6"/>
      <c r="AD6" s="6"/>
      <c r="AE6" s="6"/>
      <c r="AF6" s="6" t="s">
        <v>24</v>
      </c>
      <c r="AG6" s="6"/>
      <c r="AH6" s="6"/>
      <c r="AI6" s="6"/>
      <c r="AJ6" s="6" t="s">
        <v>43</v>
      </c>
      <c r="AK6" s="6"/>
      <c r="AL6" s="32"/>
      <c r="AN6" s="6" t="s">
        <v>13</v>
      </c>
      <c r="AO6" s="6"/>
      <c r="AP6" s="6"/>
      <c r="AQ6" s="6"/>
      <c r="AS6" s="6" t="s">
        <v>14</v>
      </c>
      <c r="AT6" s="6"/>
      <c r="AU6" s="6"/>
      <c r="AV6" s="6"/>
      <c r="AX6" s="6" t="s">
        <v>15</v>
      </c>
      <c r="AY6" s="6"/>
      <c r="AZ6" s="6"/>
      <c r="BB6" s="6" t="s">
        <v>44</v>
      </c>
      <c r="BC6" s="6"/>
      <c r="BD6" s="6"/>
      <c r="BF6" s="5" t="s">
        <v>25</v>
      </c>
      <c r="BG6" s="5" t="s">
        <v>12</v>
      </c>
      <c r="BH6" s="5"/>
      <c r="BI6" s="5" t="s">
        <v>32</v>
      </c>
      <c r="BJ6" s="5"/>
      <c r="BK6" s="5"/>
      <c r="BM6" s="43" t="s">
        <v>37</v>
      </c>
      <c r="BN6" s="6"/>
      <c r="BO6" s="6"/>
      <c r="BQ6" s="43" t="s">
        <v>34</v>
      </c>
      <c r="BR6" s="43"/>
      <c r="BS6" s="6"/>
      <c r="BT6" s="6"/>
      <c r="BU6" s="2" t="s">
        <v>38</v>
      </c>
      <c r="BV6" s="43" t="s">
        <v>35</v>
      </c>
      <c r="BW6" s="6"/>
      <c r="BX6" s="6"/>
      <c r="BZ6" s="43" t="s">
        <v>36</v>
      </c>
      <c r="CA6" s="6"/>
      <c r="CB6" s="6"/>
      <c r="CD6" s="6" t="s">
        <v>31</v>
      </c>
      <c r="CE6" s="6"/>
      <c r="CF6" s="6"/>
    </row>
    <row r="7" spans="2:84" ht="16.350000000000001" customHeight="1" x14ac:dyDescent="0.3">
      <c r="D7" s="7" t="s">
        <v>16</v>
      </c>
      <c r="E7" s="4"/>
      <c r="F7" s="4"/>
      <c r="G7" s="8" t="str">
        <f ca="1">CONCATENATE("(",TEXT($F$2,"dd-mmm-yy"),")")</f>
        <v>(23-Apr-26)</v>
      </c>
      <c r="H7" s="8" t="str">
        <f>"("&amp;F3&amp;")"</f>
        <v>(CAD)</v>
      </c>
      <c r="I7" s="8" t="s">
        <v>17</v>
      </c>
      <c r="J7" s="5" t="s">
        <v>18</v>
      </c>
      <c r="K7" s="5" t="s">
        <v>19</v>
      </c>
      <c r="L7" s="5" t="s">
        <v>48</v>
      </c>
      <c r="M7" s="5" t="str">
        <f>AO7&amp;"A"</f>
        <v>CY2025A</v>
      </c>
      <c r="N7" s="5" t="str">
        <f>AP7&amp;"E"</f>
        <v>CY2026E</v>
      </c>
      <c r="O7" s="5" t="str">
        <f>AQ7&amp;"E"</f>
        <v>CY2027E</v>
      </c>
      <c r="P7" s="5" t="s">
        <v>48</v>
      </c>
      <c r="Q7" s="5" t="str">
        <f>$M$7</f>
        <v>CY2025A</v>
      </c>
      <c r="R7" s="5" t="str">
        <f>$N$7</f>
        <v>CY2026E</v>
      </c>
      <c r="S7" s="5" t="str">
        <f>$O$7</f>
        <v>CY2027E</v>
      </c>
      <c r="T7" s="61" t="str">
        <f>RIGHT(Y7,3)&amp;"-"&amp;RIGHT(Z7,3)</f>
        <v>25A-26E</v>
      </c>
      <c r="U7" s="61" t="str">
        <f>RIGHT(Z7,3)&amp;"-"&amp;RIGHT(AA7,3)</f>
        <v>26E-27E</v>
      </c>
      <c r="V7" s="5" t="str">
        <f>$M$7</f>
        <v>CY2025A</v>
      </c>
      <c r="W7" s="5" t="str">
        <f>$N$7</f>
        <v>CY2026E</v>
      </c>
      <c r="X7" s="5" t="str">
        <f>$O$7</f>
        <v>CY2027E</v>
      </c>
      <c r="Y7" s="5" t="str">
        <f>$M$7</f>
        <v>CY2025A</v>
      </c>
      <c r="Z7" s="5" t="str">
        <f>$N$7</f>
        <v>CY2026E</v>
      </c>
      <c r="AA7" s="5" t="str">
        <f>$O$7</f>
        <v>CY2027E</v>
      </c>
      <c r="AB7" s="5" t="s">
        <v>48</v>
      </c>
      <c r="AC7" s="5" t="str">
        <f>$M$7</f>
        <v>CY2025A</v>
      </c>
      <c r="AD7" s="5" t="str">
        <f>$N$7</f>
        <v>CY2026E</v>
      </c>
      <c r="AE7" s="5" t="str">
        <f>$O$7</f>
        <v>CY2027E</v>
      </c>
      <c r="AF7" s="5" t="s">
        <v>48</v>
      </c>
      <c r="AG7" s="5" t="str">
        <f>$M$7</f>
        <v>CY2025A</v>
      </c>
      <c r="AH7" s="5" t="str">
        <f>$N$7</f>
        <v>CY2026E</v>
      </c>
      <c r="AI7" s="5" t="str">
        <f>$O$7</f>
        <v>CY2027E</v>
      </c>
      <c r="AJ7" s="5" t="str">
        <f>$M$7</f>
        <v>CY2025A</v>
      </c>
      <c r="AK7" s="5" t="str">
        <f>$N$7</f>
        <v>CY2026E</v>
      </c>
      <c r="AL7" s="70" t="s">
        <v>49</v>
      </c>
      <c r="AN7" s="5" t="s">
        <v>48</v>
      </c>
      <c r="AO7" s="5" t="str">
        <f>$F$4</f>
        <v>CY2025</v>
      </c>
      <c r="AP7" s="5" t="str">
        <f>"CY"&amp;RIGHT(AO7,4)+1</f>
        <v>CY2026</v>
      </c>
      <c r="AQ7" s="5" t="str">
        <f>"CY"&amp;RIGHT(AP7,4)+1</f>
        <v>CY2027</v>
      </c>
      <c r="AS7" s="5" t="s">
        <v>48</v>
      </c>
      <c r="AT7" s="5" t="str">
        <f>$AO$7</f>
        <v>CY2025</v>
      </c>
      <c r="AU7" s="5" t="str">
        <f>$AP$7</f>
        <v>CY2026</v>
      </c>
      <c r="AV7" s="5" t="str">
        <f>$AQ$7</f>
        <v>CY2027</v>
      </c>
      <c r="AX7" s="5" t="str">
        <f>$AO$7</f>
        <v>CY2025</v>
      </c>
      <c r="AY7" s="5" t="str">
        <f>$AP$7</f>
        <v>CY2026</v>
      </c>
      <c r="AZ7" s="5" t="str">
        <f>$AQ$7</f>
        <v>CY2027</v>
      </c>
      <c r="BB7" s="5" t="str">
        <f>$AO$7</f>
        <v>CY2025</v>
      </c>
      <c r="BC7" s="5" t="str">
        <f>$AP$7</f>
        <v>CY2026</v>
      </c>
      <c r="BD7" s="5" t="str">
        <f>$AQ$7</f>
        <v>CY2027</v>
      </c>
      <c r="BF7" s="5" t="s">
        <v>26</v>
      </c>
      <c r="BG7" s="5" t="s">
        <v>19</v>
      </c>
      <c r="BH7" s="5" t="s">
        <v>21</v>
      </c>
      <c r="BI7" s="5" t="s">
        <v>33</v>
      </c>
      <c r="BJ7" s="5" t="s">
        <v>27</v>
      </c>
      <c r="BK7" s="5" t="s">
        <v>20</v>
      </c>
      <c r="BM7" s="5" t="str">
        <f>$AO$7</f>
        <v>CY2025</v>
      </c>
      <c r="BN7" s="5" t="str">
        <f>$AP$7</f>
        <v>CY2026</v>
      </c>
      <c r="BO7" s="5" t="str">
        <f>$AQ$7</f>
        <v>CY2027</v>
      </c>
      <c r="BQ7" s="5" t="s">
        <v>48</v>
      </c>
      <c r="BR7" s="5" t="str">
        <f>$AO$7</f>
        <v>CY2025</v>
      </c>
      <c r="BS7" s="5" t="str">
        <f>$AP$7</f>
        <v>CY2026</v>
      </c>
      <c r="BT7" s="5" t="str">
        <f>$AQ$7</f>
        <v>CY2027</v>
      </c>
      <c r="BV7" s="5" t="str">
        <f>$AO$7</f>
        <v>CY2025</v>
      </c>
      <c r="BW7" s="5" t="str">
        <f>$AP$7</f>
        <v>CY2026</v>
      </c>
      <c r="BX7" s="5" t="str">
        <f>$AQ$7</f>
        <v>CY2027</v>
      </c>
      <c r="BZ7" s="5" t="str">
        <f>$AO$7</f>
        <v>CY2025</v>
      </c>
      <c r="CA7" s="5" t="str">
        <f>$AP$7</f>
        <v>CY2026</v>
      </c>
      <c r="CB7" s="5" t="str">
        <f>$AQ$7</f>
        <v>CY2027</v>
      </c>
      <c r="CD7" s="5" t="str">
        <f>$AO$7</f>
        <v>CY2025</v>
      </c>
      <c r="CE7" s="5" t="str">
        <f>$AP$7</f>
        <v>CY2026</v>
      </c>
      <c r="CF7" s="5" t="str">
        <f>$AQ$7</f>
        <v>CY2027</v>
      </c>
    </row>
    <row r="8" spans="2:84" ht="3" customHeight="1" x14ac:dyDescent="0.3">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E8" s="1"/>
      <c r="BF8" s="1"/>
      <c r="BG8" s="1"/>
      <c r="BH8" s="1"/>
      <c r="BI8" s="1"/>
      <c r="BJ8" s="1"/>
      <c r="BK8" s="1"/>
      <c r="BL8" s="1"/>
      <c r="BM8" s="1"/>
      <c r="BN8" s="1"/>
      <c r="BO8" s="1"/>
      <c r="BP8" s="1"/>
      <c r="BQ8" s="1" t="s">
        <v>54</v>
      </c>
      <c r="BR8" s="1"/>
      <c r="BS8" s="1"/>
      <c r="BT8" s="1"/>
      <c r="BU8" s="1"/>
      <c r="BV8" s="1"/>
      <c r="BW8" s="1"/>
      <c r="BX8" s="1"/>
      <c r="BY8" s="1"/>
      <c r="BZ8" s="1"/>
      <c r="CA8" s="1"/>
      <c r="CB8" s="1"/>
      <c r="CC8" s="1"/>
      <c r="CD8" s="1"/>
      <c r="CE8" s="1"/>
      <c r="CF8" s="1"/>
    </row>
    <row r="9" spans="2:84" s="10" customFormat="1" ht="16.350000000000001" customHeight="1" x14ac:dyDescent="0.3">
      <c r="B9" s="1"/>
      <c r="D9" s="71" t="s">
        <v>50</v>
      </c>
    </row>
    <row r="10" spans="2:84" s="10" customFormat="1" ht="16.350000000000001" customHeight="1" x14ac:dyDescent="0.25">
      <c r="B10" s="34"/>
      <c r="D10" s="10" t="str" cm="1">
        <f t="array" ref="D10">IF($B10="","",_xll.SNL.Clients.Office.Excel.Functions.SPG($B10, "SP_COMPANY_NAME"))</f>
        <v/>
      </c>
      <c r="G10" s="12" t="str" cm="1">
        <f t="array" ref="G10">IF($B10="","",_xll.SNL.Clients.Office.Excel.Functions.SPG($B10,"SP_LASTSALEPRICE",WORKDAY($F$2+1,-1),"Options:Curr="&amp;I10&amp;",NA=--"))</f>
        <v/>
      </c>
      <c r="H10" s="13" t="str" cm="1">
        <f t="array" ref="H10">IF($B10="","",_xll.SNL.Clients.Office.Excel.Functions.SPG($B10,"SP_PRICE_CLOSE",WORKDAY($F$2+1,-1),"Options:Curr="&amp;$F$3&amp;", NA=--"))</f>
        <v/>
      </c>
      <c r="I10" s="40" t="str" cm="1">
        <f t="array" ref="I10">IF($B10="","",_xll.SNL.Clients.Office.Excel.Functions.SPG($B10,"SP_TRADING_CURRENCY","Options: NA=--"))</f>
        <v/>
      </c>
      <c r="J10" s="15" t="str" cm="1">
        <f t="array" ref="J10">IF($B10="","",_xll.SNL.Clients.Office.Excel.Functions.SPG($B10,"SP_MARKETCAP",WORKDAY($F$2+1,-1),"Options:Curr="&amp;$F$3&amp;", Mag=Millions, NA=--"))</f>
        <v/>
      </c>
      <c r="K10" s="15" t="str" cm="1">
        <f t="array" ref="K10">IF($B10="","",_xll.SNL.Clients.Office.Excel.Functions.SPG($B10,"IQ_TEV",WORKDAY($F$2+1,-1),"Options:Curr="&amp;$F$3&amp;", Mag=Millions, NA=--"))</f>
        <v/>
      </c>
      <c r="L10" s="16" t="str">
        <f>IFERROR(IF(OR($K10/AN10&gt;L$4,$K10/AN10&lt;L$3),"nmf ",$K10/AN10),"n/a ")</f>
        <v xml:space="preserve">n/a </v>
      </c>
      <c r="M10" s="16" t="str">
        <f>IFERROR(IF(OR($K10/AO10&gt;M$4,$K10/AO10&lt;M$3),"nmf ",$K10/AO10),"n/a ")</f>
        <v xml:space="preserve">n/a </v>
      </c>
      <c r="N10" s="16" t="str">
        <f>IFERROR(IF(OR($K10/AP10&gt;N$4,$K10/AP10&lt;N$3),"nmf ",$K10/AP10),"n/a ")</f>
        <v xml:space="preserve">n/a </v>
      </c>
      <c r="O10" s="16" t="str">
        <f>IFERROR(IF(OR($K10/AQ10&gt;O$4,$K10/AQ10&lt;O$3),"nmf ",$K10/AQ10),"n/a ")</f>
        <v xml:space="preserve">n/a </v>
      </c>
      <c r="P10" s="16" t="str">
        <f>IFERROR(IF(OR($K10/AS10&gt;P$4,$K10/AS10&lt;P$3),"nmf ",$K10/AS10),"n/a ")</f>
        <v xml:space="preserve">n/a </v>
      </c>
      <c r="Q10" s="16" t="str">
        <f>IFERROR(IF(OR($K10/AT10&gt;Q$4,$K10/AT10&lt;Q$3),"nmf ",$K10/AT10),"n/a ")</f>
        <v xml:space="preserve">n/a </v>
      </c>
      <c r="R10" s="16" t="str">
        <f>IFERROR(IF(OR($K10/AU10&gt;R$4,$K10/AU10&lt;R$3),"nmf ",$K10/AU10),"n/a ")</f>
        <v xml:space="preserve">n/a </v>
      </c>
      <c r="S10" s="16" t="str">
        <f>IFERROR(IF(OR($K10/AV10&gt;S$4,$K10/AV10&lt;S$3),"nmf ",$K10/AV10),"n/a ")</f>
        <v xml:space="preserve">n/a </v>
      </c>
      <c r="T10" s="33" t="str">
        <f>IFERROR((AP10/AO10)-1,"n/a ")</f>
        <v xml:space="preserve">n/a </v>
      </c>
      <c r="U10" s="33" t="str">
        <f>IFERROR((AQ10/AP10)-1,"n/a ")</f>
        <v xml:space="preserve">n/a </v>
      </c>
      <c r="V10" s="16" t="str">
        <f>IFERROR($H10/AX10,"n/a ")</f>
        <v xml:space="preserve">n/a </v>
      </c>
      <c r="W10" s="16" t="str">
        <f>IFERROR($H10/AY10,"n/a ")</f>
        <v xml:space="preserve">n/a </v>
      </c>
      <c r="X10" s="16" t="str">
        <f>IFERROR($H10/AZ10,"n/a ")</f>
        <v xml:space="preserve">n/a </v>
      </c>
      <c r="Y10" s="16" t="str">
        <f>IFERROR($H10/BB10,"n/a ")</f>
        <v xml:space="preserve">n/a </v>
      </c>
      <c r="Z10" s="16" t="str">
        <f>IFERROR($H10/BC10,"n/a ")</f>
        <v xml:space="preserve">n/a </v>
      </c>
      <c r="AA10" s="16" t="str">
        <f>IFERROR($H10/BD10,"n/a ")</f>
        <v xml:space="preserve">n/a </v>
      </c>
      <c r="AB10" s="33" t="str">
        <f>IFERROR(IF(BQ10="--","n/a ",BQ10),"n/a ")</f>
        <v/>
      </c>
      <c r="AC10" s="33" t="str">
        <f>IFERROR(IF(BR10="--","n/a ",BR10),"n/a ")</f>
        <v/>
      </c>
      <c r="AD10" s="33" t="str">
        <f t="shared" ref="AD10:AE10" si="0">IFERROR(IF(BS10="--","n/a ",BS10),"n/a ")</f>
        <v/>
      </c>
      <c r="AE10" s="33" t="str">
        <f t="shared" si="0"/>
        <v/>
      </c>
      <c r="AF10" s="33" t="str">
        <f>IFERROR((AS10/AN10),"n/a ")</f>
        <v xml:space="preserve">n/a </v>
      </c>
      <c r="AG10" s="33" t="str">
        <f>IFERROR((AT10/AO10),"n/a ")</f>
        <v xml:space="preserve">n/a </v>
      </c>
      <c r="AH10" s="33" t="str">
        <f t="shared" ref="AH10:AI10" si="1">IFERROR((AU10/AP10),"n/a ")</f>
        <v xml:space="preserve">n/a </v>
      </c>
      <c r="AI10" s="33" t="str">
        <f t="shared" si="1"/>
        <v xml:space="preserve">n/a </v>
      </c>
      <c r="AJ10" s="83" t="str">
        <f>IFERROR((BJ10/AT10),"n/a ")</f>
        <v xml:space="preserve">n/a </v>
      </c>
      <c r="AK10" s="83" t="str">
        <f>IFERROR((BJ10/AU10),"n/a ")</f>
        <v xml:space="preserve">n/a </v>
      </c>
      <c r="AL10" s="72"/>
      <c r="AN10" s="20" t="str" cm="1">
        <f t="array" ref="AN10">IF($B10="","",_xll.SNL.Clients.Office.Excel.Functions.SPG($B10,"IQ_REV",AN$7,$F$2,"Options:Curr="&amp;$F$3&amp;", Mag=Millions, NA=--"))</f>
        <v/>
      </c>
      <c r="AO10" s="20" t="str" cm="1">
        <f t="array" ref="AO10">IF($B10="","",_xll.SNL.Clients.Office.Excel.Functions.SPG($B10,"SP_REV_EST",AO$7,$F$2,"Options:Curr="&amp;$F$3&amp;", Mag=Millions, NA=--"))</f>
        <v/>
      </c>
      <c r="AP10" s="20" t="str" cm="1">
        <f t="array" ref="AP10">IF($B10="","",_xll.SNL.Clients.Office.Excel.Functions.SPG($B10,"SP_REV_EST",AP$7,$F$2,"Options:Curr="&amp;$F$3&amp;", Mag=Millions, NA=--"))</f>
        <v/>
      </c>
      <c r="AQ10" s="20" t="str" cm="1">
        <f t="array" ref="AQ10">IF($B10="","",_xll.SNL.Clients.Office.Excel.Functions.SPG($B10,"SP_REV_EST",AQ$7,$F$2,"Options:Curr="&amp;$F$3&amp;", Mag=Millions, NA=--"))</f>
        <v/>
      </c>
      <c r="AS10" s="20" t="str" cm="1">
        <f t="array" ref="AS10">IF($B10="","",_xll.SNL.Clients.Office.Excel.Functions.SPG($B10,"SP_EBITDA",AS$7,$F$2,"Options:Curr="&amp;$F$3&amp;", Mag=Millions, NA=--"))</f>
        <v/>
      </c>
      <c r="AT10" s="20" t="str" cm="1">
        <f t="array" ref="AT10">IF($B10="","",_xll.SNL.Clients.Office.Excel.Functions.SPG($B10,"SP_EBITDA_EST",AT$7,$F$2,"Options:Curr="&amp;$F$3&amp;", Mag=Millions, NA=--"))</f>
        <v/>
      </c>
      <c r="AU10" s="20" t="str" cm="1">
        <f t="array" ref="AU10">IF($B10="","",_xll.SNL.Clients.Office.Excel.Functions.SPG($B10,"SP_EBITDA_EST",AU$7,$F$2,"Options:Curr="&amp;$F$3&amp;", Mag=Millions, NA=--"))</f>
        <v/>
      </c>
      <c r="AV10" s="20" t="str" cm="1">
        <f t="array" ref="AV10">IF($B10="","",_xll.SNL.Clients.Office.Excel.Functions.SPG($B10,"SP_EBITDA_EST",AV$7,$F$2,"Options:Curr="&amp;$F$3&amp;", Mag=Millions, NA=--"))</f>
        <v/>
      </c>
      <c r="AX10" s="13" t="str" cm="1">
        <f t="array" ref="AX10">IF($B10="","",_xll.SNL.Clients.Office.Excel.Functions.SPG($B10,"SP_EPS_EST",AX$7,$F$2,"Options:Curr="&amp;$F$3&amp;", NA=--"))</f>
        <v/>
      </c>
      <c r="AY10" s="13" t="str" cm="1">
        <f t="array" ref="AY10">IF($B10="","",_xll.SNL.Clients.Office.Excel.Functions.SPG($B10,"SP_EPS_EST",AY$7,$F$2,"Options:Curr="&amp;$F$3&amp;", NA=--"))</f>
        <v/>
      </c>
      <c r="AZ10" s="13" t="str" cm="1">
        <f t="array" ref="AZ10">IF($B10="","",_xll.SNL.Clients.Office.Excel.Functions.SPG($B10,"SP_EPS_EST",AZ$7,$F$2,"Options:Curr="&amp;$F$3&amp;", NA=--"))</f>
        <v/>
      </c>
      <c r="BB10" s="13" t="str" cm="1">
        <f t="array" ref="BB10">IF($B10="","",_xll.SNL.Clients.Office.Excel.Functions.SPG($B10,"SP_CFPS_EST",BB$7,$F$2,"Options:Curr="&amp;$F$3&amp;", NA=--"))</f>
        <v/>
      </c>
      <c r="BC10" s="13" t="str" cm="1">
        <f t="array" ref="BC10">IF($B10="","",_xll.SNL.Clients.Office.Excel.Functions.SPG($B10,"SP_CFPS_EST",BC$7,$F$2,"Options:Curr="&amp;$F$3&amp;", NA=--"))</f>
        <v/>
      </c>
      <c r="BD10" s="13" t="str" cm="1">
        <f t="array" ref="BD10">IF($B10="","",_xll.SNL.Clients.Office.Excel.Functions.SPG($B10,"SP_CFPS_EST",BD$7,$F$2,"Options:Curr="&amp;$F$3&amp;", NA=--"))</f>
        <v/>
      </c>
      <c r="BF10" s="65" t="str" cm="1">
        <f t="array" ref="BF10">IF($B10="","",_xll.SNL.Clients.Office.Excel.Functions.SPG($B10,"SP_DIV_YIELD",WORKDAY($F$2+1,-1),"Options: NA=--"))</f>
        <v/>
      </c>
      <c r="BG10" s="19" t="str" cm="1">
        <f t="array" ref="BG10">IF($B10="","",_xll.SNL.Clients.Office.Excel.Functions.SPG($B10,"IQ_TOTAL_EQUITY","FQ0",$F$2,"Options:Curr="&amp;$F$3&amp;", Mag=Millions, NA=--"))</f>
        <v/>
      </c>
      <c r="BH10" s="19" t="str" cm="1">
        <f t="array" ref="BH10">IF($B10="","",_xll.SNL.Clients.Office.Excel.Functions.SPG($B10,"IQ_TOTAL_DEBT","FQ0",$F$2,"Options:Curr="&amp;$F$3&amp;", Mag=Millions, NA=--"))</f>
        <v/>
      </c>
      <c r="BI10" s="19" t="str" cm="1">
        <f t="array" ref="BI10">IF($B10="","",_xll.SNL.Clients.Office.Excel.Functions.SPG($B10,"IQ_CASH_ST_INVEST","FQ0",$F$2,"Options:Curr="&amp;$F$3&amp;", Mag=Millions, NA=--"))</f>
        <v/>
      </c>
      <c r="BJ10" s="37" t="e">
        <f>+BH10-BI10</f>
        <v>#VALUE!</v>
      </c>
      <c r="BK10" s="19" t="str" cm="1">
        <f t="array" ref="BK10">IF($B10="","",_xll.SNL.Clients.Office.Excel.Functions.SPG($B10,"IQ_TOTAL_EQUITY","FQ0",$F$2,"Options:Curr="&amp;$F$3&amp;", Mag=Millions, NA=--"))</f>
        <v/>
      </c>
      <c r="BM10" s="20" t="str">
        <f>IFERROR($AO10*$BR10,"n/a")</f>
        <v>n/a</v>
      </c>
      <c r="BN10" s="20" t="str">
        <f>IFERROR($AP10*BS10,"n/a")</f>
        <v>n/a</v>
      </c>
      <c r="BO10" s="20" t="str">
        <f>IFERROR($AQ10*$BT10,"n/a")</f>
        <v>n/a</v>
      </c>
      <c r="BQ10" s="44" t="str">
        <f>IF($B10="","",IFERROR(_xll.SNL.Clients.Office.Excel.Functions.SPG($B10,"SP_GROSS_MARGIN",BQ$7,$F$2,"Options: NA=--")/100,"--"))</f>
        <v/>
      </c>
      <c r="BR10" s="44" t="str">
        <f>IF($B10="","",IFERROR(_xll.SNL.Clients.Office.Excel.Functions.SPG($B10,"SP_GROSS_MARGIN_EST",BR$7,$F$2,"Options: NA=--")/100,"--"))</f>
        <v/>
      </c>
      <c r="BS10" s="44" t="str">
        <f>IF($B10="","",IFERROR(_xll.SNL.Clients.Office.Excel.Functions.SPG($B10,"SP_GROSS_MARGIN_EST",BS$7,$F$2,"Options: NA=--")/100,"--"))</f>
        <v/>
      </c>
      <c r="BT10" s="44" t="str">
        <f>IF($B10="","",IFERROR(_xll.SNL.Clients.Office.Excel.Functions.SPG($B10,"SP_GROSS_MARGIN_EST",BT$7,$F$2,"Options: NA=--")/100,"--"))</f>
        <v/>
      </c>
      <c r="BU10" s="45"/>
      <c r="BV10" s="47" t="str" cm="1">
        <f t="array" ref="BV10">IF($B10="","",_xll.SNL.Clients.Office.Excel.Functions.SPG($B10,"SP_GROSS_MARGIN_NUM_EST",BV$7,$F$2,"Options: NA=--"))</f>
        <v/>
      </c>
      <c r="BW10" s="47" t="str" cm="1">
        <f t="array" ref="BW10">IF($B10="","",_xll.SNL.Clients.Office.Excel.Functions.SPG($B10,"SP_GROSS_MARGIN_NUM_EST",BW$7,$F$2,"Options: NA=--"))</f>
        <v/>
      </c>
      <c r="BX10" s="47" t="str" cm="1">
        <f t="array" ref="BX10">IF($B10="","",_xll.SNL.Clients.Office.Excel.Functions.SPG($B10,"SP_GROSS_MARGIN_NUM_EST",BX$7,$F$2,"Options: NA=--"))</f>
        <v/>
      </c>
      <c r="BZ10" s="62" t="str">
        <f>IFERROR(IF(CD10/AO10&lt;0,"nmf ",CD10/AO10),"n/a ")</f>
        <v xml:space="preserve">n/a </v>
      </c>
      <c r="CA10" s="62" t="str">
        <f>IFERROR(IF(CE10/AP10&lt;0,"nmf ",CE10/AP10),"n/a ")</f>
        <v xml:space="preserve">n/a </v>
      </c>
      <c r="CB10" s="62" t="str">
        <f>IFERROR(IF(CF10/AQ10&lt;0,"nmf ",CF10/AQ10),"n/a ")</f>
        <v xml:space="preserve">n/a </v>
      </c>
      <c r="CD10" s="68" t="str">
        <f>IFERROR(BR10*AO10,"--")</f>
        <v>--</v>
      </c>
      <c r="CE10" s="20" t="str">
        <f>IFERROR(BS10*AP10,"--")</f>
        <v>--</v>
      </c>
      <c r="CF10" s="20" t="str">
        <f>IFERROR(BT10*AQ10,"--")</f>
        <v>--</v>
      </c>
    </row>
    <row r="11" spans="2:84" s="10" customFormat="1" ht="16.350000000000001" customHeight="1" x14ac:dyDescent="0.25">
      <c r="B11" s="34"/>
      <c r="D11" s="10" t="str" cm="1">
        <f t="array" ref="D11">IF($B11="","",_xll.SNL.Clients.Office.Excel.Functions.SPG($B11, "SP_COMPANY_NAME"))</f>
        <v/>
      </c>
      <c r="G11" s="12" t="str" cm="1">
        <f t="array" ref="G11">IF($B11="","",_xll.SNL.Clients.Office.Excel.Functions.SPG($B11,"SP_LASTSALEPRICE",WORKDAY($F$2+1,-1),"Options:Curr="&amp;I11&amp;",NA=--"))</f>
        <v/>
      </c>
      <c r="H11" s="13" t="str" cm="1">
        <f t="array" ref="H11">IF($B11="","",_xll.SNL.Clients.Office.Excel.Functions.SPG($B11,"SP_PRICE_CLOSE",WORKDAY($F$2+1,-1),"Options:Curr="&amp;$F$3&amp;", NA=--"))</f>
        <v/>
      </c>
      <c r="I11" s="40" t="str" cm="1">
        <f t="array" ref="I11">IF($B11="","",_xll.SNL.Clients.Office.Excel.Functions.SPG($B11,"SP_TRADING_CURRENCY","Options: NA=--"))</f>
        <v/>
      </c>
      <c r="J11" s="15" t="str" cm="1">
        <f t="array" ref="J11">IF($B11="","",_xll.SNL.Clients.Office.Excel.Functions.SPG($B11,"SP_MARKETCAP",WORKDAY($F$2+1,-1),"Options:Curr="&amp;$F$3&amp;", Mag=Millions, NA=--"))</f>
        <v/>
      </c>
      <c r="K11" s="15" t="str" cm="1">
        <f t="array" ref="K11">IF($B11="","",_xll.SNL.Clients.Office.Excel.Functions.SPG($B11,"IQ_TEV",WORKDAY($F$2+1,-1),"Options:Curr="&amp;$F$3&amp;", Mag=Millions, NA=--"))</f>
        <v/>
      </c>
      <c r="L11" s="16" t="str">
        <f>IFERROR(IF(OR($K11/AN11&gt;L$4,$K11/AN11&lt;L$3),"nmf ",$K11/AN11),"n/a ")</f>
        <v xml:space="preserve">n/a </v>
      </c>
      <c r="M11" s="16" t="str">
        <f>IFERROR(IF(OR($K11/AO11&gt;M$4,$K11/AO11&lt;M$3),"nmf ",$K11/AO11),"n/a ")</f>
        <v xml:space="preserve">n/a </v>
      </c>
      <c r="N11" s="16" t="str">
        <f>IFERROR(IF(OR($K11/AP11&gt;N$4,$K11/AP11&lt;N$3),"nmf ",$K11/AP11),"n/a ")</f>
        <v xml:space="preserve">n/a </v>
      </c>
      <c r="O11" s="16" t="str">
        <f>IFERROR(IF(OR($K11/AQ11&gt;O$4,$K11/AQ11&lt;O$3),"nmf ",$K11/AQ11),"n/a ")</f>
        <v xml:space="preserve">n/a </v>
      </c>
      <c r="P11" s="16" t="str">
        <f>IFERROR(IF(OR($K11/AS11&gt;P$4,$K11/AS11&lt;P$3),"nmf ",$K11/AS11),"n/a ")</f>
        <v xml:space="preserve">n/a </v>
      </c>
      <c r="Q11" s="16" t="str">
        <f>IFERROR(IF(OR($K11/AT11&gt;Q$4,$K11/AT11&lt;Q$3),"nmf ",$K11/AT11),"n/a ")</f>
        <v xml:space="preserve">n/a </v>
      </c>
      <c r="R11" s="16" t="str">
        <f>IFERROR(IF(OR($K11/AU11&gt;R$4,$K11/AU11&lt;R$3),"nmf ",$K11/AU11),"n/a ")</f>
        <v xml:space="preserve">n/a </v>
      </c>
      <c r="S11" s="16" t="str">
        <f>IFERROR(IF(OR($K11/AV11&gt;S$4,$K11/AV11&lt;S$3),"nmf ",$K11/AV11),"n/a ")</f>
        <v xml:space="preserve">n/a </v>
      </c>
      <c r="T11" s="33" t="str">
        <f t="shared" ref="T11" si="2">IFERROR((AP11/AO11)-1,"n/a ")</f>
        <v xml:space="preserve">n/a </v>
      </c>
      <c r="U11" s="33" t="str">
        <f t="shared" ref="U11" si="3">IFERROR((AQ11/AP11)-1,"n/a ")</f>
        <v xml:space="preserve">n/a </v>
      </c>
      <c r="V11" s="16" t="str">
        <f>IFERROR($H11/AX11,"n/a ")</f>
        <v xml:space="preserve">n/a </v>
      </c>
      <c r="W11" s="16" t="str">
        <f>IFERROR($H11/AY11,"n/a ")</f>
        <v xml:space="preserve">n/a </v>
      </c>
      <c r="X11" s="16" t="str">
        <f>IFERROR($H11/AZ11,"n/a ")</f>
        <v xml:space="preserve">n/a </v>
      </c>
      <c r="Y11" s="16" t="str">
        <f>IFERROR($H11/BB11,"n/a ")</f>
        <v xml:space="preserve">n/a </v>
      </c>
      <c r="Z11" s="16" t="str">
        <f>IFERROR($H11/BC11,"n/a ")</f>
        <v xml:space="preserve">n/a </v>
      </c>
      <c r="AA11" s="16" t="str">
        <f>IFERROR($H11/BD11,"n/a ")</f>
        <v xml:space="preserve">n/a </v>
      </c>
      <c r="AB11" s="33" t="str">
        <f t="shared" ref="AB11:AC15" si="4">IFERROR(IF(BQ11="--","n/a ",BQ11),"n/a ")</f>
        <v/>
      </c>
      <c r="AC11" s="33" t="str">
        <f t="shared" si="4"/>
        <v/>
      </c>
      <c r="AD11" s="33" t="str">
        <f t="shared" ref="AD11:AD15" si="5">IFERROR(IF(BS11="--","n/a ",BS11),"n/a ")</f>
        <v/>
      </c>
      <c r="AE11" s="33" t="str">
        <f t="shared" ref="AE11:AE15" si="6">IFERROR(IF(BT11="--","n/a ",BT11),"n/a ")</f>
        <v/>
      </c>
      <c r="AF11" s="33" t="str">
        <f t="shared" ref="AF11:AG15" si="7">IFERROR((AS11/AN11),"n/a ")</f>
        <v xml:space="preserve">n/a </v>
      </c>
      <c r="AG11" s="33" t="str">
        <f t="shared" si="7"/>
        <v xml:space="preserve">n/a </v>
      </c>
      <c r="AH11" s="33" t="str">
        <f t="shared" ref="AH11:AH15" si="8">IFERROR((AU11/AP11),"n/a ")</f>
        <v xml:space="preserve">n/a </v>
      </c>
      <c r="AI11" s="33" t="str">
        <f t="shared" ref="AI11:AI15" si="9">IFERROR((AV11/AQ11),"n/a ")</f>
        <v xml:space="preserve">n/a </v>
      </c>
      <c r="AJ11" s="83" t="str">
        <f t="shared" ref="AJ11:AJ15" si="10">IFERROR((BJ11/AT11),"n/a ")</f>
        <v xml:space="preserve">n/a </v>
      </c>
      <c r="AK11" s="83" t="str">
        <f t="shared" ref="AK11:AK15" si="11">IFERROR((BJ11/AU11),"n/a ")</f>
        <v xml:space="preserve">n/a </v>
      </c>
      <c r="AL11" s="72"/>
      <c r="AN11" s="20" t="str" cm="1">
        <f t="array" ref="AN11">IF($B11="","",_xll.SNL.Clients.Office.Excel.Functions.SPG($B11,"IQ_REV",AN$7,$F$2,"Options:Curr="&amp;$F$3&amp;", Mag=Millions, NA=--"))</f>
        <v/>
      </c>
      <c r="AO11" s="20" t="str" cm="1">
        <f t="array" ref="AO11">IF($B11="","",_xll.SNL.Clients.Office.Excel.Functions.SPG($B11,"SP_REV_EST",AO$7,$F$2,"Options:Curr="&amp;$F$3&amp;", Mag=Millions, NA=--"))</f>
        <v/>
      </c>
      <c r="AP11" s="20" t="str" cm="1">
        <f t="array" ref="AP11">IF($B11="","",_xll.SNL.Clients.Office.Excel.Functions.SPG($B11,"SP_REV_EST",AP$7,$F$2,"Options:Curr="&amp;$F$3&amp;", Mag=Millions, NA=--"))</f>
        <v/>
      </c>
      <c r="AQ11" s="20" t="str" cm="1">
        <f t="array" ref="AQ11">IF($B11="","",_xll.SNL.Clients.Office.Excel.Functions.SPG($B11,"SP_REV_EST",AQ$7,$F$2,"Options:Curr="&amp;$F$3&amp;", Mag=Millions, NA=--"))</f>
        <v/>
      </c>
      <c r="AS11" s="20" t="str" cm="1">
        <f t="array" ref="AS11">IF($B11="","",_xll.SNL.Clients.Office.Excel.Functions.SPG($B11,"SP_EBITDA",AS$7,$F$2,"Options:Curr="&amp;$F$3&amp;", Mag=Millions, NA=--"))</f>
        <v/>
      </c>
      <c r="AT11" s="20" t="str" cm="1">
        <f t="array" ref="AT11">IF($B11="","",_xll.SNL.Clients.Office.Excel.Functions.SPG($B11,"SP_EBITDA_EST",AT$7,$F$2,"Options:Curr="&amp;$F$3&amp;", Mag=Millions, NA=--"))</f>
        <v/>
      </c>
      <c r="AU11" s="20" t="str" cm="1">
        <f t="array" ref="AU11">IF($B11="","",_xll.SNL.Clients.Office.Excel.Functions.SPG($B11,"SP_EBITDA_EST",AU$7,$F$2,"Options:Curr="&amp;$F$3&amp;", Mag=Millions, NA=--"))</f>
        <v/>
      </c>
      <c r="AV11" s="20" t="str" cm="1">
        <f t="array" ref="AV11">IF($B11="","",_xll.SNL.Clients.Office.Excel.Functions.SPG($B11,"SP_EBITDA_EST",AV$7,$F$2,"Options:Curr="&amp;$F$3&amp;", Mag=Millions, NA=--"))</f>
        <v/>
      </c>
      <c r="AX11" s="13" t="str" cm="1">
        <f t="array" ref="AX11">IF($B11="","",_xll.SNL.Clients.Office.Excel.Functions.SPG($B11,"SP_EPS_EST",AX$7,$F$2,"Options:Curr="&amp;$F$3&amp;", NA=--"))</f>
        <v/>
      </c>
      <c r="AY11" s="13" t="str" cm="1">
        <f t="array" ref="AY11">IF($B11="","",_xll.SNL.Clients.Office.Excel.Functions.SPG($B11,"SP_EPS_EST",AY$7,$F$2,"Options:Curr="&amp;$F$3&amp;", NA=--"))</f>
        <v/>
      </c>
      <c r="AZ11" s="13" t="str" cm="1">
        <f t="array" ref="AZ11">IF($B11="","",_xll.SNL.Clients.Office.Excel.Functions.SPG($B11,"SP_EPS_EST",AZ$7,$F$2,"Options:Curr="&amp;$F$3&amp;", NA=--"))</f>
        <v/>
      </c>
      <c r="BB11" s="13" t="str" cm="1">
        <f t="array" ref="BB11">IF($B11="","",_xll.SNL.Clients.Office.Excel.Functions.SPG($B11,"SP_CFPS_EST",BB$7,$F$2,"Options:Curr="&amp;$F$3&amp;", NA=--"))</f>
        <v/>
      </c>
      <c r="BC11" s="13" t="str" cm="1">
        <f t="array" ref="BC11">IF($B11="","",_xll.SNL.Clients.Office.Excel.Functions.SPG($B11,"SP_CFPS_EST",BC$7,$F$2,"Options:Curr="&amp;$F$3&amp;", NA=--"))</f>
        <v/>
      </c>
      <c r="BD11" s="13" t="str" cm="1">
        <f t="array" ref="BD11">IF($B11="","",_xll.SNL.Clients.Office.Excel.Functions.SPG($B11,"SP_CFPS_EST",BD$7,$F$2,"Options:Curr="&amp;$F$3&amp;", NA=--"))</f>
        <v/>
      </c>
      <c r="BF11" s="65" t="str" cm="1">
        <f t="array" ref="BF11">IF($B11="","",_xll.SNL.Clients.Office.Excel.Functions.SPG($B11,"SP_DIV_YIELD",WORKDAY($F$2+1,-1),"Options: NA=--"))</f>
        <v/>
      </c>
      <c r="BG11" s="19" t="str" cm="1">
        <f t="array" ref="BG11">IF($B11="","",_xll.SNL.Clients.Office.Excel.Functions.SPG($B11,"IQ_TOTAL_EQUITY","FQ0",$F$2,"Options:Curr="&amp;$F$3&amp;", Mag=Millions, NA=--"))</f>
        <v/>
      </c>
      <c r="BH11" s="19" t="str" cm="1">
        <f t="array" ref="BH11">IF($B11="","",_xll.SNL.Clients.Office.Excel.Functions.SPG($B11,"IQ_TOTAL_DEBT","FQ0",$F$2,"Options:Curr="&amp;$F$3&amp;", Mag=Millions, NA=--"))</f>
        <v/>
      </c>
      <c r="BI11" s="19" t="str" cm="1">
        <f t="array" ref="BI11">IF($B11="","",_xll.SNL.Clients.Office.Excel.Functions.SPG($B11,"IQ_CASH_ST_INVEST","FQ0",$F$2,"Options:Curr="&amp;$F$3&amp;", Mag=Millions, NA=--"))</f>
        <v/>
      </c>
      <c r="BJ11" s="37" t="e">
        <f t="shared" ref="BJ11" si="12">+BH11-BI11</f>
        <v>#VALUE!</v>
      </c>
      <c r="BK11" s="19" t="str" cm="1">
        <f t="array" ref="BK11">IF($B11="","",_xll.SNL.Clients.Office.Excel.Functions.SPG($B11,"IQ_TOTAL_EQUITY","FQ0",$F$2,"Options:Curr="&amp;$F$3&amp;", Mag=Millions, NA=--"))</f>
        <v/>
      </c>
      <c r="BM11" s="20" t="str">
        <f>IFERROR($AO11*$BR11,"n/a")</f>
        <v>n/a</v>
      </c>
      <c r="BN11" s="20" t="str">
        <f>IFERROR($AP11*BS11,"n/a")</f>
        <v>n/a</v>
      </c>
      <c r="BO11" s="20" t="str">
        <f>IFERROR($AQ11*$BT11,"n/a")</f>
        <v>n/a</v>
      </c>
      <c r="BQ11" s="44" t="str">
        <f>IF($B11="","",IFERROR(_xll.SNL.Clients.Office.Excel.Functions.SPG($B11,"SP_GROSS_MARGIN",BQ$7,$F$2,"Options: NA=--")/100,"--"))</f>
        <v/>
      </c>
      <c r="BR11" s="44" t="str">
        <f>IF($B11="","",IFERROR(_xll.SNL.Clients.Office.Excel.Functions.SPG($B11,"SP_GROSS_MARGIN_EST",BR$7,$F$2,"Options: NA=--")/100,"--"))</f>
        <v/>
      </c>
      <c r="BS11" s="44" t="str">
        <f>IF($B11="","",IFERROR(_xll.SNL.Clients.Office.Excel.Functions.SPG($B11,"SP_GROSS_MARGIN_EST",BS$7,$F$2,"Options: NA=--")/100,"--"))</f>
        <v/>
      </c>
      <c r="BT11" s="44" t="str">
        <f>IF($B11="","",IFERROR(_xll.SNL.Clients.Office.Excel.Functions.SPG($B11,"SP_GROSS_MARGIN_EST",BT$7,$F$2,"Options: NA=--")/100,"--"))</f>
        <v/>
      </c>
      <c r="BU11" s="45"/>
      <c r="BV11" s="47" t="str" cm="1">
        <f t="array" ref="BV11">IF($B11="","",_xll.SNL.Clients.Office.Excel.Functions.SPG($B11,"SP_GROSS_MARGIN_NUM_EST",BV$7,$F$2,"Options: NA=--"))</f>
        <v/>
      </c>
      <c r="BW11" s="47" t="str" cm="1">
        <f t="array" ref="BW11">IF($B11="","",_xll.SNL.Clients.Office.Excel.Functions.SPG($B11,"SP_GROSS_MARGIN_NUM_EST",BW$7,$F$2,"Options: NA=--"))</f>
        <v/>
      </c>
      <c r="BX11" s="47" t="str" cm="1">
        <f t="array" ref="BX11">IF($B11="","",_xll.SNL.Clients.Office.Excel.Functions.SPG($B11,"SP_GROSS_MARGIN_NUM_EST",BX$7,$F$2,"Options: NA=--"))</f>
        <v/>
      </c>
      <c r="BZ11" s="62" t="str">
        <f>IFERROR(IF(CD11/AO11&lt;0,"nmf ",CD11/AO11),"n/a ")</f>
        <v xml:space="preserve">n/a </v>
      </c>
      <c r="CA11" s="62" t="str">
        <f>IFERROR(IF(CE11/AP11&lt;0,"nmf ",CE11/AP11),"n/a ")</f>
        <v xml:space="preserve">n/a </v>
      </c>
      <c r="CB11" s="62" t="str">
        <f>IFERROR(IF(CF11/AQ11&lt;0,"nmf ",CF11/AQ11),"n/a ")</f>
        <v xml:space="preserve">n/a </v>
      </c>
      <c r="CD11" s="68" t="str">
        <f>IFERROR(BR11*AO11,"--")</f>
        <v>--</v>
      </c>
      <c r="CE11" s="20" t="str">
        <f>IFERROR(BS11*AP11,"--")</f>
        <v>--</v>
      </c>
      <c r="CF11" s="20" t="str">
        <f>IFERROR(BT11*AQ11,"--")</f>
        <v>--</v>
      </c>
    </row>
    <row r="12" spans="2:84" s="10" customFormat="1" ht="16.350000000000001" customHeight="1" x14ac:dyDescent="0.25">
      <c r="B12" s="34"/>
      <c r="D12" s="10" t="str" cm="1">
        <f t="array" ref="D12">IF($B12="","",_xll.SNL.Clients.Office.Excel.Functions.SPG($B12, "SP_COMPANY_NAME"))</f>
        <v/>
      </c>
      <c r="G12" s="12" t="str" cm="1">
        <f t="array" ref="G12">IF($B12="","",_xll.SNL.Clients.Office.Excel.Functions.SPG($B12,"SP_LASTSALEPRICE",WORKDAY($F$2+1,-1),"Options:Curr="&amp;I12&amp;",NA=--"))</f>
        <v/>
      </c>
      <c r="H12" s="13" t="str" cm="1">
        <f t="array" ref="H12">IF($B12="","",_xll.SNL.Clients.Office.Excel.Functions.SPG($B12,"SP_PRICE_CLOSE",WORKDAY($F$2+1,-1),"Options:Curr="&amp;$F$3&amp;", NA=--"))</f>
        <v/>
      </c>
      <c r="I12" s="40" t="str" cm="1">
        <f t="array" ref="I12">IF($B12="","",_xll.SNL.Clients.Office.Excel.Functions.SPG($B12,"SP_TRADING_CURRENCY","Options: NA=--"))</f>
        <v/>
      </c>
      <c r="J12" s="15" t="str" cm="1">
        <f t="array" ref="J12">IF($B12="","",_xll.SNL.Clients.Office.Excel.Functions.SPG($B12,"SP_MARKETCAP",WORKDAY($F$2+1,-1),"Options:Curr="&amp;$F$3&amp;", Mag=Millions, NA=--"))</f>
        <v/>
      </c>
      <c r="K12" s="15" t="str" cm="1">
        <f t="array" ref="K12">IF($B12="","",_xll.SNL.Clients.Office.Excel.Functions.SPG($B12,"IQ_TEV",WORKDAY($F$2+1,-1),"Options:Curr="&amp;$F$3&amp;", Mag=Millions, NA=--"))</f>
        <v/>
      </c>
      <c r="L12" s="16" t="str">
        <f>IFERROR(IF(OR($K12/AN12&gt;L$4,$K12/AN12&lt;L$3),"nmf ",$K12/AN12),"n/a ")</f>
        <v xml:space="preserve">n/a </v>
      </c>
      <c r="M12" s="16" t="str">
        <f>IFERROR(IF(OR($K12/AO12&gt;M$4,$K12/AO12&lt;M$3),"nmf ",$K12/AO12),"n/a ")</f>
        <v xml:space="preserve">n/a </v>
      </c>
      <c r="N12" s="16" t="str">
        <f>IFERROR(IF(OR($K12/AP12&gt;N$4,$K12/AP12&lt;N$3),"nmf ",$K12/AP12),"n/a ")</f>
        <v xml:space="preserve">n/a </v>
      </c>
      <c r="O12" s="16" t="str">
        <f>IFERROR(IF(OR($K12/AQ12&gt;O$4,$K12/AQ12&lt;O$3),"nmf ",$K12/AQ12),"n/a ")</f>
        <v xml:space="preserve">n/a </v>
      </c>
      <c r="P12" s="16" t="str">
        <f>IFERROR(IF(OR($K12/AS12&gt;P$4,$K12/AS12&lt;P$3),"nmf ",$K12/AS12),"n/a ")</f>
        <v xml:space="preserve">n/a </v>
      </c>
      <c r="Q12" s="16" t="str">
        <f>IFERROR(IF(OR($K12/AT12&gt;Q$4,$K12/AT12&lt;Q$3),"nmf ",$K12/AT12),"n/a ")</f>
        <v xml:space="preserve">n/a </v>
      </c>
      <c r="R12" s="16" t="str">
        <f>IFERROR(IF(OR($K12/AU12&gt;R$4,$K12/AU12&lt;R$3),"nmf ",$K12/AU12),"n/a ")</f>
        <v xml:space="preserve">n/a </v>
      </c>
      <c r="S12" s="16" t="str">
        <f>IFERROR(IF(OR($K12/AV12&gt;S$4,$K12/AV12&lt;S$3),"nmf ",$K12/AV12),"n/a ")</f>
        <v xml:space="preserve">n/a </v>
      </c>
      <c r="T12" s="33" t="str">
        <f t="shared" ref="T12" si="13">IFERROR((AP12/AO12)-1,"n/a ")</f>
        <v xml:space="preserve">n/a </v>
      </c>
      <c r="U12" s="33" t="str">
        <f t="shared" ref="U12" si="14">IFERROR((AQ12/AP12)-1,"n/a ")</f>
        <v xml:space="preserve">n/a </v>
      </c>
      <c r="V12" s="16" t="str">
        <f>IFERROR($H12/AX12,"n/a ")</f>
        <v xml:space="preserve">n/a </v>
      </c>
      <c r="W12" s="16" t="str">
        <f>IFERROR($H12/AY12,"n/a ")</f>
        <v xml:space="preserve">n/a </v>
      </c>
      <c r="X12" s="16" t="str">
        <f>IFERROR($H12/AZ12,"n/a ")</f>
        <v xml:space="preserve">n/a </v>
      </c>
      <c r="Y12" s="16" t="str">
        <f>IFERROR($H12/BB12,"n/a ")</f>
        <v xml:space="preserve">n/a </v>
      </c>
      <c r="Z12" s="16" t="str">
        <f>IFERROR($H12/BC12,"n/a ")</f>
        <v xml:space="preserve">n/a </v>
      </c>
      <c r="AA12" s="16" t="str">
        <f>IFERROR($H12/BD12,"n/a ")</f>
        <v xml:space="preserve">n/a </v>
      </c>
      <c r="AB12" s="33" t="str">
        <f t="shared" si="4"/>
        <v/>
      </c>
      <c r="AC12" s="33" t="str">
        <f t="shared" si="4"/>
        <v/>
      </c>
      <c r="AD12" s="33" t="str">
        <f t="shared" si="5"/>
        <v/>
      </c>
      <c r="AE12" s="33" t="str">
        <f t="shared" si="6"/>
        <v/>
      </c>
      <c r="AF12" s="33" t="str">
        <f t="shared" si="7"/>
        <v xml:space="preserve">n/a </v>
      </c>
      <c r="AG12" s="33" t="str">
        <f t="shared" si="7"/>
        <v xml:space="preserve">n/a </v>
      </c>
      <c r="AH12" s="33" t="str">
        <f t="shared" si="8"/>
        <v xml:space="preserve">n/a </v>
      </c>
      <c r="AI12" s="33" t="str">
        <f t="shared" si="9"/>
        <v xml:space="preserve">n/a </v>
      </c>
      <c r="AJ12" s="83" t="str">
        <f t="shared" si="10"/>
        <v xml:space="preserve">n/a </v>
      </c>
      <c r="AK12" s="83" t="str">
        <f t="shared" si="11"/>
        <v xml:space="preserve">n/a </v>
      </c>
      <c r="AL12" s="72"/>
      <c r="AN12" s="20" t="str" cm="1">
        <f t="array" ref="AN12">IF($B12="","",_xll.SNL.Clients.Office.Excel.Functions.SPG($B12,"IQ_REV",AN$7,$F$2,"Options:Curr="&amp;$F$3&amp;", Mag=Millions, NA=--"))</f>
        <v/>
      </c>
      <c r="AO12" s="20" t="str" cm="1">
        <f t="array" ref="AO12">IF($B12="","",_xll.SNL.Clients.Office.Excel.Functions.SPG($B12,"SP_REV_EST",AO$7,$F$2,"Options:Curr="&amp;$F$3&amp;", Mag=Millions, NA=--"))</f>
        <v/>
      </c>
      <c r="AP12" s="20" t="str" cm="1">
        <f t="array" ref="AP12">IF($B12="","",_xll.SNL.Clients.Office.Excel.Functions.SPG($B12,"SP_REV_EST",AP$7,$F$2,"Options:Curr="&amp;$F$3&amp;", Mag=Millions, NA=--"))</f>
        <v/>
      </c>
      <c r="AQ12" s="20" t="str" cm="1">
        <f t="array" ref="AQ12">IF($B12="","",_xll.SNL.Clients.Office.Excel.Functions.SPG($B12,"SP_REV_EST",AQ$7,$F$2,"Options:Curr="&amp;$F$3&amp;", Mag=Millions, NA=--"))</f>
        <v/>
      </c>
      <c r="AS12" s="20" t="str" cm="1">
        <f t="array" ref="AS12">IF($B12="","",_xll.SNL.Clients.Office.Excel.Functions.SPG($B12,"SP_EBITDA",AS$7,$F$2,"Options:Curr="&amp;$F$3&amp;", Mag=Millions, NA=--"))</f>
        <v/>
      </c>
      <c r="AT12" s="20" t="str" cm="1">
        <f t="array" ref="AT12">IF($B12="","",_xll.SNL.Clients.Office.Excel.Functions.SPG($B12,"SP_EBITDA_EST",AT$7,$F$2,"Options:Curr="&amp;$F$3&amp;", Mag=Millions, NA=--"))</f>
        <v/>
      </c>
      <c r="AU12" s="20" t="str" cm="1">
        <f t="array" ref="AU12">IF($B12="","",_xll.SNL.Clients.Office.Excel.Functions.SPG($B12,"SP_EBITDA_EST",AU$7,$F$2,"Options:Curr="&amp;$F$3&amp;", Mag=Millions, NA=--"))</f>
        <v/>
      </c>
      <c r="AV12" s="20" t="str" cm="1">
        <f t="array" ref="AV12">IF($B12="","",_xll.SNL.Clients.Office.Excel.Functions.SPG($B12,"SP_EBITDA_EST",AV$7,$F$2,"Options:Curr="&amp;$F$3&amp;", Mag=Millions, NA=--"))</f>
        <v/>
      </c>
      <c r="AX12" s="13" t="str" cm="1">
        <f t="array" ref="AX12">IF($B12="","",_xll.SNL.Clients.Office.Excel.Functions.SPG($B12,"SP_EPS_EST",AX$7,$F$2,"Options:Curr="&amp;$F$3&amp;", NA=--"))</f>
        <v/>
      </c>
      <c r="AY12" s="13" t="str" cm="1">
        <f t="array" ref="AY12">IF($B12="","",_xll.SNL.Clients.Office.Excel.Functions.SPG($B12,"SP_EPS_EST",AY$7,$F$2,"Options:Curr="&amp;$F$3&amp;", NA=--"))</f>
        <v/>
      </c>
      <c r="AZ12" s="13" t="str" cm="1">
        <f t="array" ref="AZ12">IF($B12="","",_xll.SNL.Clients.Office.Excel.Functions.SPG($B12,"SP_EPS_EST",AZ$7,$F$2,"Options:Curr="&amp;$F$3&amp;", NA=--"))</f>
        <v/>
      </c>
      <c r="BB12" s="13" t="str" cm="1">
        <f t="array" ref="BB12">IF($B12="","",_xll.SNL.Clients.Office.Excel.Functions.SPG($B12,"SP_CFPS_EST",BB$7,$F$2,"Options:Curr="&amp;$F$3&amp;", NA=--"))</f>
        <v/>
      </c>
      <c r="BC12" s="13" t="str" cm="1">
        <f t="array" ref="BC12">IF($B12="","",_xll.SNL.Clients.Office.Excel.Functions.SPG($B12,"SP_CFPS_EST",BC$7,$F$2,"Options:Curr="&amp;$F$3&amp;", NA=--"))</f>
        <v/>
      </c>
      <c r="BD12" s="13" t="str" cm="1">
        <f t="array" ref="BD12">IF($B12="","",_xll.SNL.Clients.Office.Excel.Functions.SPG($B12,"SP_CFPS_EST",BD$7,$F$2,"Options:Curr="&amp;$F$3&amp;", NA=--"))</f>
        <v/>
      </c>
      <c r="BF12" s="65" t="str" cm="1">
        <f t="array" ref="BF12">IF($B12="","",_xll.SNL.Clients.Office.Excel.Functions.SPG($B12,"SP_DIV_YIELD",WORKDAY($F$2+1,-1),"Options: NA=--"))</f>
        <v/>
      </c>
      <c r="BG12" s="19" t="str" cm="1">
        <f t="array" ref="BG12">IF($B12="","",_xll.SNL.Clients.Office.Excel.Functions.SPG($B12,"IQ_TOTAL_EQUITY","FQ0",$F$2,"Options:Curr="&amp;$F$3&amp;", Mag=Millions, NA=--"))</f>
        <v/>
      </c>
      <c r="BH12" s="19" t="str" cm="1">
        <f t="array" ref="BH12">IF($B12="","",_xll.SNL.Clients.Office.Excel.Functions.SPG($B12,"IQ_TOTAL_DEBT","FQ0",$F$2,"Options:Curr="&amp;$F$3&amp;", Mag=Millions, NA=--"))</f>
        <v/>
      </c>
      <c r="BI12" s="19" t="str" cm="1">
        <f t="array" ref="BI12">IF($B12="","",_xll.SNL.Clients.Office.Excel.Functions.SPG($B12,"IQ_CASH_ST_INVEST","FQ0",$F$2,"Options:Curr="&amp;$F$3&amp;", Mag=Millions, NA=--"))</f>
        <v/>
      </c>
      <c r="BJ12" s="37" t="e">
        <f t="shared" ref="BJ12" si="15">+BH12-BI12</f>
        <v>#VALUE!</v>
      </c>
      <c r="BK12" s="19" t="str" cm="1">
        <f t="array" ref="BK12">IF($B12="","",_xll.SNL.Clients.Office.Excel.Functions.SPG($B12,"IQ_TOTAL_EQUITY","FQ0",$F$2,"Options:Curr="&amp;$F$3&amp;", Mag=Millions, NA=--"))</f>
        <v/>
      </c>
      <c r="BM12" s="20" t="str">
        <f>IFERROR($AO12*$BR12,"n/a")</f>
        <v>n/a</v>
      </c>
      <c r="BN12" s="20" t="str">
        <f>IFERROR($AP12*BS12,"n/a")</f>
        <v>n/a</v>
      </c>
      <c r="BO12" s="20" t="str">
        <f>IFERROR($AQ12*$BT12,"n/a")</f>
        <v>n/a</v>
      </c>
      <c r="BQ12" s="44" t="str">
        <f>IF($B12="","",IFERROR(_xll.SNL.Clients.Office.Excel.Functions.SPG($B12,"SP_GROSS_MARGIN",BQ$7,$F$2,"Options: NA=--")/100,"--"))</f>
        <v/>
      </c>
      <c r="BR12" s="44" t="str">
        <f>IF($B12="","",IFERROR(_xll.SNL.Clients.Office.Excel.Functions.SPG($B12,"SP_GROSS_MARGIN_EST",BR$7,$F$2,"Options: NA=--")/100,"--"))</f>
        <v/>
      </c>
      <c r="BS12" s="44" t="str">
        <f>IF($B12="","",IFERROR(_xll.SNL.Clients.Office.Excel.Functions.SPG($B12,"SP_GROSS_MARGIN_EST",BS$7,$F$2,"Options: NA=--")/100,"--"))</f>
        <v/>
      </c>
      <c r="BT12" s="44" t="str">
        <f>IF($B12="","",IFERROR(_xll.SNL.Clients.Office.Excel.Functions.SPG($B12,"SP_GROSS_MARGIN_EST",BT$7,$F$2,"Options: NA=--")/100,"--"))</f>
        <v/>
      </c>
      <c r="BU12" s="45"/>
      <c r="BV12" s="47" t="str" cm="1">
        <f t="array" ref="BV12">IF($B12="","",_xll.SNL.Clients.Office.Excel.Functions.SPG($B12,"SP_GROSS_MARGIN_NUM_EST",BV$7,$F$2,"Options: NA=--"))</f>
        <v/>
      </c>
      <c r="BW12" s="47" t="str" cm="1">
        <f t="array" ref="BW12">IF($B12="","",_xll.SNL.Clients.Office.Excel.Functions.SPG($B12,"SP_GROSS_MARGIN_NUM_EST",BW$7,$F$2,"Options: NA=--"))</f>
        <v/>
      </c>
      <c r="BX12" s="47" t="str" cm="1">
        <f t="array" ref="BX12">IF($B12="","",_xll.SNL.Clients.Office.Excel.Functions.SPG($B12,"SP_GROSS_MARGIN_NUM_EST",BX$7,$F$2,"Options: NA=--"))</f>
        <v/>
      </c>
      <c r="BZ12" s="62" t="str">
        <f>IFERROR(IF(CD12/AO12&lt;0,"nmf ",CD12/AO12),"n/a ")</f>
        <v xml:space="preserve">n/a </v>
      </c>
      <c r="CA12" s="62" t="str">
        <f>IFERROR(IF(CE12/AP12&lt;0,"nmf ",CE12/AP12),"n/a ")</f>
        <v xml:space="preserve">n/a </v>
      </c>
      <c r="CB12" s="62" t="str">
        <f>IFERROR(IF(CF12/AQ12&lt;0,"nmf ",CF12/AQ12),"n/a ")</f>
        <v xml:space="preserve">n/a </v>
      </c>
      <c r="CD12" s="68" t="str">
        <f>IFERROR(BR12*AO12,"--")</f>
        <v>--</v>
      </c>
      <c r="CE12" s="20" t="str">
        <f>IFERROR(BS12*AP12,"--")</f>
        <v>--</v>
      </c>
      <c r="CF12" s="20" t="str">
        <f>IFERROR(BT12*AQ12,"--")</f>
        <v>--</v>
      </c>
    </row>
    <row r="13" spans="2:84" s="10" customFormat="1" ht="16.350000000000001" customHeight="1" x14ac:dyDescent="0.25">
      <c r="B13" s="34"/>
      <c r="D13" s="10" t="str" cm="1">
        <f t="array" ref="D13">IF($B13="","",_xll.SNL.Clients.Office.Excel.Functions.SPG($B13, "SP_COMPANY_NAME"))</f>
        <v/>
      </c>
      <c r="G13" s="12" t="str" cm="1">
        <f t="array" ref="G13">IF($B13="","",_xll.SNL.Clients.Office.Excel.Functions.SPG($B13,"SP_LASTSALEPRICE",WORKDAY($F$2+1,-1),"Options:Curr="&amp;I13&amp;",NA=--"))</f>
        <v/>
      </c>
      <c r="H13" s="13" t="str" cm="1">
        <f t="array" ref="H13">IF($B13="","",_xll.SNL.Clients.Office.Excel.Functions.SPG($B13,"SP_PRICE_CLOSE",WORKDAY($F$2+1,-1),"Options:Curr="&amp;$F$3&amp;", NA=--"))</f>
        <v/>
      </c>
      <c r="I13" s="40" t="str" cm="1">
        <f t="array" ref="I13">IF($B13="","",_xll.SNL.Clients.Office.Excel.Functions.SPG($B13,"SP_TRADING_CURRENCY","Options: NA=--"))</f>
        <v/>
      </c>
      <c r="J13" s="15" t="str" cm="1">
        <f t="array" ref="J13">IF($B13="","",_xll.SNL.Clients.Office.Excel.Functions.SPG($B13,"SP_MARKETCAP",WORKDAY($F$2+1,-1),"Options:Curr="&amp;$F$3&amp;", Mag=Millions, NA=--"))</f>
        <v/>
      </c>
      <c r="K13" s="15" t="str" cm="1">
        <f t="array" ref="K13">IF($B13="","",_xll.SNL.Clients.Office.Excel.Functions.SPG($B13,"IQ_TEV",WORKDAY($F$2+1,-1),"Options:Curr="&amp;$F$3&amp;", Mag=Millions, NA=--"))</f>
        <v/>
      </c>
      <c r="L13" s="16" t="str">
        <f>IFERROR(IF(OR($K13/AN13&gt;L$4,$K13/AN13&lt;L$3),"nmf ",$K13/AN13),"n/a ")</f>
        <v xml:space="preserve">n/a </v>
      </c>
      <c r="M13" s="16" t="str">
        <f>IFERROR(IF(OR($K13/AO13&gt;M$4,$K13/AO13&lt;M$3),"nmf ",$K13/AO13),"n/a ")</f>
        <v xml:space="preserve">n/a </v>
      </c>
      <c r="N13" s="16" t="str">
        <f>IFERROR(IF(OR($K13/AP13&gt;N$4,$K13/AP13&lt;N$3),"nmf ",$K13/AP13),"n/a ")</f>
        <v xml:space="preserve">n/a </v>
      </c>
      <c r="O13" s="16" t="str">
        <f>IFERROR(IF(OR($K13/AQ13&gt;O$4,$K13/AQ13&lt;O$3),"nmf ",$K13/AQ13),"n/a ")</f>
        <v xml:space="preserve">n/a </v>
      </c>
      <c r="P13" s="16" t="str">
        <f>IFERROR(IF(OR($K13/AS13&gt;P$4,$K13/AS13&lt;P$3),"nmf ",$K13/AS13),"n/a ")</f>
        <v xml:space="preserve">n/a </v>
      </c>
      <c r="Q13" s="16" t="str">
        <f>IFERROR(IF(OR($K13/AT13&gt;Q$4,$K13/AT13&lt;Q$3),"nmf ",$K13/AT13),"n/a ")</f>
        <v xml:space="preserve">n/a </v>
      </c>
      <c r="R13" s="16" t="str">
        <f>IFERROR(IF(OR($K13/AU13&gt;R$4,$K13/AU13&lt;R$3),"nmf ",$K13/AU13),"n/a ")</f>
        <v xml:space="preserve">n/a </v>
      </c>
      <c r="S13" s="16" t="str">
        <f>IFERROR(IF(OR($K13/AV13&gt;S$4,$K13/AV13&lt;S$3),"nmf ",$K13/AV13),"n/a ")</f>
        <v xml:space="preserve">n/a </v>
      </c>
      <c r="T13" s="33" t="str">
        <f t="shared" ref="T13:T14" si="16">IFERROR((AP13/AO13)-1,"n/a ")</f>
        <v xml:space="preserve">n/a </v>
      </c>
      <c r="U13" s="33" t="str">
        <f t="shared" ref="U13:U14" si="17">IFERROR((AQ13/AP13)-1,"n/a ")</f>
        <v xml:space="preserve">n/a </v>
      </c>
      <c r="V13" s="16" t="str">
        <f>IFERROR($H13/AX13,"n/a ")</f>
        <v xml:space="preserve">n/a </v>
      </c>
      <c r="W13" s="16" t="str">
        <f>IFERROR($H13/AY13,"n/a ")</f>
        <v xml:space="preserve">n/a </v>
      </c>
      <c r="X13" s="16" t="str">
        <f>IFERROR($H13/AZ13,"n/a ")</f>
        <v xml:space="preserve">n/a </v>
      </c>
      <c r="Y13" s="16" t="str">
        <f>IFERROR($H13/BB13,"n/a ")</f>
        <v xml:space="preserve">n/a </v>
      </c>
      <c r="Z13" s="16" t="str">
        <f>IFERROR($H13/BC13,"n/a ")</f>
        <v xml:space="preserve">n/a </v>
      </c>
      <c r="AA13" s="16" t="str">
        <f>IFERROR($H13/BD13,"n/a ")</f>
        <v xml:space="preserve">n/a </v>
      </c>
      <c r="AB13" s="33" t="str">
        <f t="shared" si="4"/>
        <v/>
      </c>
      <c r="AC13" s="33" t="str">
        <f t="shared" si="4"/>
        <v/>
      </c>
      <c r="AD13" s="33" t="str">
        <f t="shared" si="5"/>
        <v/>
      </c>
      <c r="AE13" s="33" t="str">
        <f t="shared" si="6"/>
        <v/>
      </c>
      <c r="AF13" s="33" t="str">
        <f t="shared" si="7"/>
        <v xml:space="preserve">n/a </v>
      </c>
      <c r="AG13" s="33" t="str">
        <f t="shared" si="7"/>
        <v xml:space="preserve">n/a </v>
      </c>
      <c r="AH13" s="33" t="str">
        <f t="shared" si="8"/>
        <v xml:space="preserve">n/a </v>
      </c>
      <c r="AI13" s="33" t="str">
        <f t="shared" si="9"/>
        <v xml:space="preserve">n/a </v>
      </c>
      <c r="AJ13" s="83" t="str">
        <f t="shared" si="10"/>
        <v xml:space="preserve">n/a </v>
      </c>
      <c r="AK13" s="83" t="str">
        <f t="shared" si="11"/>
        <v xml:space="preserve">n/a </v>
      </c>
      <c r="AL13" s="72"/>
      <c r="AN13" s="20" t="str" cm="1">
        <f t="array" ref="AN13">IF($B13="","",_xll.SNL.Clients.Office.Excel.Functions.SPG($B13,"IQ_REV",AN$7,$F$2,"Options:Curr="&amp;$F$3&amp;", Mag=Millions, NA=--"))</f>
        <v/>
      </c>
      <c r="AO13" s="20" t="str" cm="1">
        <f t="array" ref="AO13">IF($B13="","",_xll.SNL.Clients.Office.Excel.Functions.SPG($B13,"SP_REV_EST",AO$7,$F$2,"Options:Curr="&amp;$F$3&amp;", Mag=Millions, NA=--"))</f>
        <v/>
      </c>
      <c r="AP13" s="20" t="str" cm="1">
        <f t="array" ref="AP13">IF($B13="","",_xll.SNL.Clients.Office.Excel.Functions.SPG($B13,"SP_REV_EST",AP$7,$F$2,"Options:Curr="&amp;$F$3&amp;", Mag=Millions, NA=--"))</f>
        <v/>
      </c>
      <c r="AQ13" s="20" t="str" cm="1">
        <f t="array" ref="AQ13">IF($B13="","",_xll.SNL.Clients.Office.Excel.Functions.SPG($B13,"SP_REV_EST",AQ$7,$F$2,"Options:Curr="&amp;$F$3&amp;", Mag=Millions, NA=--"))</f>
        <v/>
      </c>
      <c r="AS13" s="20" t="str" cm="1">
        <f t="array" ref="AS13">IF($B13="","",_xll.SNL.Clients.Office.Excel.Functions.SPG($B13,"SP_EBITDA",AS$7,$F$2,"Options:Curr="&amp;$F$3&amp;", Mag=Millions, NA=--"))</f>
        <v/>
      </c>
      <c r="AT13" s="20" t="str" cm="1">
        <f t="array" ref="AT13">IF($B13="","",_xll.SNL.Clients.Office.Excel.Functions.SPG($B13,"SP_EBITDA_EST",AT$7,$F$2,"Options:Curr="&amp;$F$3&amp;", Mag=Millions, NA=--"))</f>
        <v/>
      </c>
      <c r="AU13" s="20" t="str" cm="1">
        <f t="array" ref="AU13">IF($B13="","",_xll.SNL.Clients.Office.Excel.Functions.SPG($B13,"SP_EBITDA_EST",AU$7,$F$2,"Options:Curr="&amp;$F$3&amp;", Mag=Millions, NA=--"))</f>
        <v/>
      </c>
      <c r="AV13" s="20" t="str" cm="1">
        <f t="array" ref="AV13">IF($B13="","",_xll.SNL.Clients.Office.Excel.Functions.SPG($B13,"SP_EBITDA_EST",AV$7,$F$2,"Options:Curr="&amp;$F$3&amp;", Mag=Millions, NA=--"))</f>
        <v/>
      </c>
      <c r="AX13" s="13" t="str" cm="1">
        <f t="array" ref="AX13">IF($B13="","",_xll.SNL.Clients.Office.Excel.Functions.SPG($B13,"SP_EPS_EST",AX$7,$F$2,"Options:Curr="&amp;$F$3&amp;", NA=--"))</f>
        <v/>
      </c>
      <c r="AY13" s="13" t="str" cm="1">
        <f t="array" ref="AY13">IF($B13="","",_xll.SNL.Clients.Office.Excel.Functions.SPG($B13,"SP_EPS_EST",AY$7,$F$2,"Options:Curr="&amp;$F$3&amp;", NA=--"))</f>
        <v/>
      </c>
      <c r="AZ13" s="13" t="str" cm="1">
        <f t="array" ref="AZ13">IF($B13="","",_xll.SNL.Clients.Office.Excel.Functions.SPG($B13,"SP_EPS_EST",AZ$7,$F$2,"Options:Curr="&amp;$F$3&amp;", NA=--"))</f>
        <v/>
      </c>
      <c r="BB13" s="13" t="str" cm="1">
        <f t="array" ref="BB13">IF($B13="","",_xll.SNL.Clients.Office.Excel.Functions.SPG($B13,"SP_CFPS_EST",BB$7,$F$2,"Options:Curr="&amp;$F$3&amp;", NA=--"))</f>
        <v/>
      </c>
      <c r="BC13" s="13" t="str" cm="1">
        <f t="array" ref="BC13">IF($B13="","",_xll.SNL.Clients.Office.Excel.Functions.SPG($B13,"SP_CFPS_EST",BC$7,$F$2,"Options:Curr="&amp;$F$3&amp;", NA=--"))</f>
        <v/>
      </c>
      <c r="BD13" s="13" t="str" cm="1">
        <f t="array" ref="BD13">IF($B13="","",_xll.SNL.Clients.Office.Excel.Functions.SPG($B13,"SP_CFPS_EST",BD$7,$F$2,"Options:Curr="&amp;$F$3&amp;", NA=--"))</f>
        <v/>
      </c>
      <c r="BF13" s="65" t="str" cm="1">
        <f t="array" ref="BF13">IF($B13="","",_xll.SNL.Clients.Office.Excel.Functions.SPG($B13,"SP_DIV_YIELD",WORKDAY($F$2+1,-1),"Options: NA=--"))</f>
        <v/>
      </c>
      <c r="BG13" s="19" t="str" cm="1">
        <f t="array" ref="BG13">IF($B13="","",_xll.SNL.Clients.Office.Excel.Functions.SPG($B13,"IQ_TOTAL_EQUITY","FQ0",$F$2,"Options:Curr="&amp;$F$3&amp;", Mag=Millions, NA=--"))</f>
        <v/>
      </c>
      <c r="BH13" s="19" t="str" cm="1">
        <f t="array" ref="BH13">IF($B13="","",_xll.SNL.Clients.Office.Excel.Functions.SPG($B13,"IQ_TOTAL_DEBT","FQ0",$F$2,"Options:Curr="&amp;$F$3&amp;", Mag=Millions, NA=--"))</f>
        <v/>
      </c>
      <c r="BI13" s="19" t="str" cm="1">
        <f t="array" ref="BI13">IF($B13="","",_xll.SNL.Clients.Office.Excel.Functions.SPG($B13,"IQ_CASH_ST_INVEST","FQ0",$F$2,"Options:Curr="&amp;$F$3&amp;", Mag=Millions, NA=--"))</f>
        <v/>
      </c>
      <c r="BJ13" s="37" t="e">
        <f t="shared" ref="BJ13:BJ14" si="18">+BH13-BI13</f>
        <v>#VALUE!</v>
      </c>
      <c r="BK13" s="19" t="str" cm="1">
        <f t="array" ref="BK13">IF($B13="","",_xll.SNL.Clients.Office.Excel.Functions.SPG($B13,"IQ_TOTAL_EQUITY","FQ0",$F$2,"Options:Curr="&amp;$F$3&amp;", Mag=Millions, NA=--"))</f>
        <v/>
      </c>
      <c r="BM13" s="20" t="str">
        <f t="shared" ref="BM13:BM14" si="19">IFERROR($AO13*$BR13,"n/a")</f>
        <v>n/a</v>
      </c>
      <c r="BN13" s="20" t="str">
        <f>IFERROR($AP13*BS13,"n/a")</f>
        <v>n/a</v>
      </c>
      <c r="BO13" s="20" t="str">
        <f>IFERROR($AQ13*$BT13,"n/a")</f>
        <v>n/a</v>
      </c>
      <c r="BQ13" s="44" t="str">
        <f>IF($B13="","",IFERROR(_xll.SNL.Clients.Office.Excel.Functions.SPG($B13,"SP_GROSS_MARGIN",BQ$7,$F$2,"Options: NA=--")/100,"--"))</f>
        <v/>
      </c>
      <c r="BR13" s="44" t="str">
        <f>IF($B13="","",IFERROR(_xll.SNL.Clients.Office.Excel.Functions.SPG($B13,"SP_GROSS_MARGIN_EST",BR$7,$F$2,"Options: NA=--")/100,"--"))</f>
        <v/>
      </c>
      <c r="BS13" s="44" t="str">
        <f>IF($B13="","",IFERROR(_xll.SNL.Clients.Office.Excel.Functions.SPG($B13,"SP_GROSS_MARGIN_EST",BS$7,$F$2,"Options: NA=--")/100,"--"))</f>
        <v/>
      </c>
      <c r="BT13" s="44" t="str">
        <f>IF($B13="","",IFERROR(_xll.SNL.Clients.Office.Excel.Functions.SPG($B13,"SP_GROSS_MARGIN_EST",BT$7,$F$2,"Options: NA=--")/100,"--"))</f>
        <v/>
      </c>
      <c r="BU13" s="45"/>
      <c r="BV13" s="47" t="str" cm="1">
        <f t="array" ref="BV13">IF($B13="","",_xll.SNL.Clients.Office.Excel.Functions.SPG($B13,"SP_GROSS_MARGIN_NUM_EST",BV$7,$F$2,"Options: NA=--"))</f>
        <v/>
      </c>
      <c r="BW13" s="47" t="str" cm="1">
        <f t="array" ref="BW13">IF($B13="","",_xll.SNL.Clients.Office.Excel.Functions.SPG($B13,"SP_GROSS_MARGIN_NUM_EST",BW$7,$F$2,"Options: NA=--"))</f>
        <v/>
      </c>
      <c r="BX13" s="47" t="str" cm="1">
        <f t="array" ref="BX13">IF($B13="","",_xll.SNL.Clients.Office.Excel.Functions.SPG($B13,"SP_GROSS_MARGIN_NUM_EST",BX$7,$F$2,"Options: NA=--"))</f>
        <v/>
      </c>
      <c r="BZ13" s="62" t="str">
        <f>IFERROR(IF(CD13/AO13&lt;0,"nmf ",CD13/AO13),"n/a ")</f>
        <v xml:space="preserve">n/a </v>
      </c>
      <c r="CA13" s="62" t="str">
        <f>IFERROR(IF(CE13/AP13&lt;0,"nmf ",CE13/AP13),"n/a ")</f>
        <v xml:space="preserve">n/a </v>
      </c>
      <c r="CB13" s="62" t="str">
        <f>IFERROR(IF(CF13/AQ13&lt;0,"nmf ",CF13/AQ13),"n/a ")</f>
        <v xml:space="preserve">n/a </v>
      </c>
      <c r="CD13" s="68" t="str">
        <f>IFERROR(BR13*AO13,"--")</f>
        <v>--</v>
      </c>
      <c r="CE13" s="20" t="str">
        <f>IFERROR(BS13*AP13,"--")</f>
        <v>--</v>
      </c>
      <c r="CF13" s="20" t="str">
        <f>IFERROR(BT13*AQ13,"--")</f>
        <v>--</v>
      </c>
    </row>
    <row r="14" spans="2:84" s="10" customFormat="1" ht="16.350000000000001" customHeight="1" x14ac:dyDescent="0.25">
      <c r="B14" s="34"/>
      <c r="D14" s="10" t="str" cm="1">
        <f t="array" ref="D14">IF($B14="","",_xll.SNL.Clients.Office.Excel.Functions.SPG($B14, "SP_COMPANY_NAME"))</f>
        <v/>
      </c>
      <c r="G14" s="12" t="str" cm="1">
        <f t="array" ref="G14">IF($B14="","",_xll.SNL.Clients.Office.Excel.Functions.SPG($B14,"SP_LASTSALEPRICE",WORKDAY($F$2+1,-1),"Options:Curr="&amp;I14&amp;",NA=--"))</f>
        <v/>
      </c>
      <c r="H14" s="13" t="str" cm="1">
        <f t="array" ref="H14">IF($B14="","",_xll.SNL.Clients.Office.Excel.Functions.SPG($B14,"SP_PRICE_CLOSE",WORKDAY($F$2+1,-1),"Options:Curr="&amp;$F$3&amp;", NA=--"))</f>
        <v/>
      </c>
      <c r="I14" s="40" t="str" cm="1">
        <f t="array" ref="I14">IF($B14="","",_xll.SNL.Clients.Office.Excel.Functions.SPG($B14,"SP_TRADING_CURRENCY","Options: NA=--"))</f>
        <v/>
      </c>
      <c r="J14" s="15" t="str" cm="1">
        <f t="array" ref="J14">IF($B14="","",_xll.SNL.Clients.Office.Excel.Functions.SPG($B14,"SP_MARKETCAP",WORKDAY($F$2+1,-1),"Options:Curr="&amp;$F$3&amp;", Mag=Millions, NA=--"))</f>
        <v/>
      </c>
      <c r="K14" s="15" t="str" cm="1">
        <f t="array" ref="K14">IF($B14="","",_xll.SNL.Clients.Office.Excel.Functions.SPG($B14,"IQ_TEV",WORKDAY($F$2+1,-1),"Options:Curr="&amp;$F$3&amp;", Mag=Millions, NA=--"))</f>
        <v/>
      </c>
      <c r="L14" s="16" t="str">
        <f>IFERROR(IF(OR($K14/AN14&gt;L$4,$K14/AN14&lt;L$3),"nmf ",$K14/AN14),"n/a ")</f>
        <v xml:space="preserve">n/a </v>
      </c>
      <c r="M14" s="16" t="str">
        <f>IFERROR(IF(OR($K14/AO14&gt;M$4,$K14/AO14&lt;M$3),"nmf ",$K14/AO14),"n/a ")</f>
        <v xml:space="preserve">n/a </v>
      </c>
      <c r="N14" s="16" t="str">
        <f>IFERROR(IF(OR($K14/AP14&gt;N$4,$K14/AP14&lt;N$3),"nmf ",$K14/AP14),"n/a ")</f>
        <v xml:space="preserve">n/a </v>
      </c>
      <c r="O14" s="16" t="str">
        <f>IFERROR(IF(OR($K14/AQ14&gt;O$4,$K14/AQ14&lt;O$3),"nmf ",$K14/AQ14),"n/a ")</f>
        <v xml:space="preserve">n/a </v>
      </c>
      <c r="P14" s="16" t="str">
        <f>IFERROR(IF(OR($K14/AS14&gt;P$4,$K14/AS14&lt;P$3),"nmf ",$K14/AS14),"n/a ")</f>
        <v xml:space="preserve">n/a </v>
      </c>
      <c r="Q14" s="16" t="str">
        <f>IFERROR(IF(OR($K14/AT14&gt;Q$4,$K14/AT14&lt;Q$3),"nmf ",$K14/AT14),"n/a ")</f>
        <v xml:space="preserve">n/a </v>
      </c>
      <c r="R14" s="16" t="str">
        <f>IFERROR(IF(OR($K14/AU14&gt;R$4,$K14/AU14&lt;R$3),"nmf ",$K14/AU14),"n/a ")</f>
        <v xml:space="preserve">n/a </v>
      </c>
      <c r="S14" s="16" t="str">
        <f>IFERROR(IF(OR($K14/AV14&gt;S$4,$K14/AV14&lt;S$3),"nmf ",$K14/AV14),"n/a ")</f>
        <v xml:space="preserve">n/a </v>
      </c>
      <c r="T14" s="33" t="str">
        <f t="shared" si="16"/>
        <v xml:space="preserve">n/a </v>
      </c>
      <c r="U14" s="33" t="str">
        <f t="shared" si="17"/>
        <v xml:space="preserve">n/a </v>
      </c>
      <c r="V14" s="16" t="str">
        <f>IFERROR($H14/AX14,"n/a ")</f>
        <v xml:space="preserve">n/a </v>
      </c>
      <c r="W14" s="16" t="str">
        <f>IFERROR($H14/AY14,"n/a ")</f>
        <v xml:space="preserve">n/a </v>
      </c>
      <c r="X14" s="16" t="str">
        <f>IFERROR($H14/AZ14,"n/a ")</f>
        <v xml:space="preserve">n/a </v>
      </c>
      <c r="Y14" s="16" t="str">
        <f>IFERROR($H14/BB14,"n/a ")</f>
        <v xml:space="preserve">n/a </v>
      </c>
      <c r="Z14" s="16" t="str">
        <f>IFERROR($H14/BC14,"n/a ")</f>
        <v xml:space="preserve">n/a </v>
      </c>
      <c r="AA14" s="16" t="str">
        <f>IFERROR($H14/BD14,"n/a ")</f>
        <v xml:space="preserve">n/a </v>
      </c>
      <c r="AB14" s="33" t="str">
        <f t="shared" si="4"/>
        <v/>
      </c>
      <c r="AC14" s="33" t="str">
        <f t="shared" si="4"/>
        <v/>
      </c>
      <c r="AD14" s="33" t="str">
        <f t="shared" si="5"/>
        <v/>
      </c>
      <c r="AE14" s="33" t="str">
        <f t="shared" si="6"/>
        <v/>
      </c>
      <c r="AF14" s="33" t="str">
        <f t="shared" si="7"/>
        <v xml:space="preserve">n/a </v>
      </c>
      <c r="AG14" s="33" t="str">
        <f t="shared" si="7"/>
        <v xml:space="preserve">n/a </v>
      </c>
      <c r="AH14" s="33" t="str">
        <f t="shared" si="8"/>
        <v xml:space="preserve">n/a </v>
      </c>
      <c r="AI14" s="33" t="str">
        <f t="shared" si="9"/>
        <v xml:space="preserve">n/a </v>
      </c>
      <c r="AJ14" s="83" t="str">
        <f t="shared" si="10"/>
        <v xml:space="preserve">n/a </v>
      </c>
      <c r="AK14" s="83" t="str">
        <f t="shared" si="11"/>
        <v xml:space="preserve">n/a </v>
      </c>
      <c r="AL14" s="72"/>
      <c r="AN14" s="20" t="str" cm="1">
        <f t="array" ref="AN14">IF($B14="","",_xll.SNL.Clients.Office.Excel.Functions.SPG($B14,"IQ_REV",AN$7,$F$2,"Options:Curr="&amp;$F$3&amp;", Mag=Millions, NA=--"))</f>
        <v/>
      </c>
      <c r="AO14" s="20" t="str" cm="1">
        <f t="array" ref="AO14">IF($B14="","",_xll.SNL.Clients.Office.Excel.Functions.SPG($B14,"SP_REV_EST",AO$7,$F$2,"Options:Curr="&amp;$F$3&amp;", Mag=Millions, NA=--"))</f>
        <v/>
      </c>
      <c r="AP14" s="20" t="str" cm="1">
        <f t="array" ref="AP14">IF($B14="","",_xll.SNL.Clients.Office.Excel.Functions.SPG($B14,"SP_REV_EST",AP$7,$F$2,"Options:Curr="&amp;$F$3&amp;", Mag=Millions, NA=--"))</f>
        <v/>
      </c>
      <c r="AQ14" s="20" t="str" cm="1">
        <f t="array" ref="AQ14">IF($B14="","",_xll.SNL.Clients.Office.Excel.Functions.SPG($B14,"SP_REV_EST",AQ$7,$F$2,"Options:Curr="&amp;$F$3&amp;", Mag=Millions, NA=--"))</f>
        <v/>
      </c>
      <c r="AS14" s="20" t="str" cm="1">
        <f t="array" ref="AS14">IF($B14="","",_xll.SNL.Clients.Office.Excel.Functions.SPG($B14,"SP_EBITDA",AS$7,$F$2,"Options:Curr="&amp;$F$3&amp;", Mag=Millions, NA=--"))</f>
        <v/>
      </c>
      <c r="AT14" s="20" t="str" cm="1">
        <f t="array" ref="AT14">IF($B14="","",_xll.SNL.Clients.Office.Excel.Functions.SPG($B14,"SP_EBITDA_EST",AT$7,$F$2,"Options:Curr="&amp;$F$3&amp;", Mag=Millions, NA=--"))</f>
        <v/>
      </c>
      <c r="AU14" s="20" t="str" cm="1">
        <f t="array" ref="AU14">IF($B14="","",_xll.SNL.Clients.Office.Excel.Functions.SPG($B14,"SP_EBITDA_EST",AU$7,$F$2,"Options:Curr="&amp;$F$3&amp;", Mag=Millions, NA=--"))</f>
        <v/>
      </c>
      <c r="AV14" s="20" t="str" cm="1">
        <f t="array" ref="AV14">IF($B14="","",_xll.SNL.Clients.Office.Excel.Functions.SPG($B14,"SP_EBITDA_EST",AV$7,$F$2,"Options:Curr="&amp;$F$3&amp;", Mag=Millions, NA=--"))</f>
        <v/>
      </c>
      <c r="AX14" s="13" t="str" cm="1">
        <f t="array" ref="AX14">IF($B14="","",_xll.SNL.Clients.Office.Excel.Functions.SPG($B14,"SP_EPS_EST",AX$7,$F$2,"Options:Curr="&amp;$F$3&amp;", NA=--"))</f>
        <v/>
      </c>
      <c r="AY14" s="13" t="str" cm="1">
        <f t="array" ref="AY14">IF($B14="","",_xll.SNL.Clients.Office.Excel.Functions.SPG($B14,"SP_EPS_EST",AY$7,$F$2,"Options:Curr="&amp;$F$3&amp;", NA=--"))</f>
        <v/>
      </c>
      <c r="AZ14" s="13" t="str" cm="1">
        <f t="array" ref="AZ14">IF($B14="","",_xll.SNL.Clients.Office.Excel.Functions.SPG($B14,"SP_EPS_EST",AZ$7,$F$2,"Options:Curr="&amp;$F$3&amp;", NA=--"))</f>
        <v/>
      </c>
      <c r="BB14" s="13" t="str" cm="1">
        <f t="array" ref="BB14">IF($B14="","",_xll.SNL.Clients.Office.Excel.Functions.SPG($B14,"SP_CFPS_EST",BB$7,$F$2,"Options:Curr="&amp;$F$3&amp;", NA=--"))</f>
        <v/>
      </c>
      <c r="BC14" s="13" t="str" cm="1">
        <f t="array" ref="BC14">IF($B14="","",_xll.SNL.Clients.Office.Excel.Functions.SPG($B14,"SP_CFPS_EST",BC$7,$F$2,"Options:Curr="&amp;$F$3&amp;", NA=--"))</f>
        <v/>
      </c>
      <c r="BD14" s="13" t="str" cm="1">
        <f t="array" ref="BD14">IF($B14="","",_xll.SNL.Clients.Office.Excel.Functions.SPG($B14,"SP_CFPS_EST",BD$7,$F$2,"Options:Curr="&amp;$F$3&amp;", NA=--"))</f>
        <v/>
      </c>
      <c r="BF14" s="65" t="str" cm="1">
        <f t="array" ref="BF14">IF($B14="","",_xll.SNL.Clients.Office.Excel.Functions.SPG($B14,"SP_DIV_YIELD",WORKDAY($F$2+1,-1),"Options: NA=--"))</f>
        <v/>
      </c>
      <c r="BG14" s="19" t="str" cm="1">
        <f t="array" ref="BG14">IF($B14="","",_xll.SNL.Clients.Office.Excel.Functions.SPG($B14,"IQ_TOTAL_EQUITY","FQ0",$F$2,"Options:Curr="&amp;$F$3&amp;", Mag=Millions, NA=--"))</f>
        <v/>
      </c>
      <c r="BH14" s="19" t="str" cm="1">
        <f t="array" ref="BH14">IF($B14="","",_xll.SNL.Clients.Office.Excel.Functions.SPG($B14,"IQ_TOTAL_DEBT","FQ0",$F$2,"Options:Curr="&amp;$F$3&amp;", Mag=Millions, NA=--"))</f>
        <v/>
      </c>
      <c r="BI14" s="19" t="str" cm="1">
        <f t="array" ref="BI14">IF($B14="","",_xll.SNL.Clients.Office.Excel.Functions.SPG($B14,"IQ_CASH_ST_INVEST","FQ0",$F$2,"Options:Curr="&amp;$F$3&amp;", Mag=Millions, NA=--"))</f>
        <v/>
      </c>
      <c r="BJ14" s="37" t="e">
        <f t="shared" si="18"/>
        <v>#VALUE!</v>
      </c>
      <c r="BK14" s="19" t="str" cm="1">
        <f t="array" ref="BK14">IF($B14="","",_xll.SNL.Clients.Office.Excel.Functions.SPG($B14,"IQ_TOTAL_EQUITY","FQ0",$F$2,"Options:Curr="&amp;$F$3&amp;", Mag=Millions, NA=--"))</f>
        <v/>
      </c>
      <c r="BM14" s="20" t="str">
        <f t="shared" si="19"/>
        <v>n/a</v>
      </c>
      <c r="BN14" s="20" t="str">
        <f>IFERROR($AP14*BS14,"n/a")</f>
        <v>n/a</v>
      </c>
      <c r="BO14" s="20" t="str">
        <f>IFERROR($AQ14*$BT14,"n/a")</f>
        <v>n/a</v>
      </c>
      <c r="BQ14" s="44" t="str">
        <f>IF($B14="","",IFERROR(_xll.SNL.Clients.Office.Excel.Functions.SPG($B14,"SP_GROSS_MARGIN",BQ$7,$F$2,"Options: NA=--")/100,"--"))</f>
        <v/>
      </c>
      <c r="BR14" s="44" t="str">
        <f>IF($B14="","",IFERROR(_xll.SNL.Clients.Office.Excel.Functions.SPG($B14,"SP_GROSS_MARGIN_EST",BR$7,$F$2,"Options: NA=--")/100,"--"))</f>
        <v/>
      </c>
      <c r="BS14" s="44" t="str">
        <f>IF($B14="","",IFERROR(_xll.SNL.Clients.Office.Excel.Functions.SPG($B14,"SP_GROSS_MARGIN_EST",BS$7,$F$2,"Options: NA=--")/100,"--"))</f>
        <v/>
      </c>
      <c r="BT14" s="44" t="str">
        <f>IF($B14="","",IFERROR(_xll.SNL.Clients.Office.Excel.Functions.SPG($B14,"SP_GROSS_MARGIN_EST",BT$7,$F$2,"Options: NA=--")/100,"--"))</f>
        <v/>
      </c>
      <c r="BU14" s="45"/>
      <c r="BV14" s="47" t="str" cm="1">
        <f t="array" ref="BV14">IF($B14="","",_xll.SNL.Clients.Office.Excel.Functions.SPG($B14,"SP_GROSS_MARGIN_NUM_EST",BV$7,$F$2,"Options: NA=--"))</f>
        <v/>
      </c>
      <c r="BW14" s="47" t="str" cm="1">
        <f t="array" ref="BW14">IF($B14="","",_xll.SNL.Clients.Office.Excel.Functions.SPG($B14,"SP_GROSS_MARGIN_NUM_EST",BW$7,$F$2,"Options: NA=--"))</f>
        <v/>
      </c>
      <c r="BX14" s="47" t="str" cm="1">
        <f t="array" ref="BX14">IF($B14="","",_xll.SNL.Clients.Office.Excel.Functions.SPG($B14,"SP_GROSS_MARGIN_NUM_EST",BX$7,$F$2,"Options: NA=--"))</f>
        <v/>
      </c>
      <c r="BZ14" s="62" t="str">
        <f>IFERROR(IF(CD14/AO14&lt;0,"nmf ",CD14/AO14),"n/a ")</f>
        <v xml:space="preserve">n/a </v>
      </c>
      <c r="CA14" s="62" t="str">
        <f>IFERROR(IF(CE14/AP14&lt;0,"nmf ",CE14/AP14),"n/a ")</f>
        <v xml:space="preserve">n/a </v>
      </c>
      <c r="CB14" s="62" t="str">
        <f>IFERROR(IF(CF14/AQ14&lt;0,"nmf ",CF14/AQ14),"n/a ")</f>
        <v xml:space="preserve">n/a </v>
      </c>
      <c r="CD14" s="68" t="str">
        <f>IFERROR(BR14*AO14,"--")</f>
        <v>--</v>
      </c>
      <c r="CE14" s="20" t="str">
        <f>IFERROR(BS14*AP14,"--")</f>
        <v>--</v>
      </c>
      <c r="CF14" s="20" t="str">
        <f>IFERROR(BT14*AQ14,"--")</f>
        <v>--</v>
      </c>
    </row>
    <row r="15" spans="2:84" s="10" customFormat="1" ht="16.350000000000001" customHeight="1" x14ac:dyDescent="0.25">
      <c r="B15" s="34"/>
      <c r="D15" s="10" t="str" cm="1">
        <f t="array" ref="D15">IF($B15="","",_xll.SNL.Clients.Office.Excel.Functions.SPG($B15, "SP_COMPANY_NAME"))</f>
        <v/>
      </c>
      <c r="G15" s="21" t="str" cm="1">
        <f t="array" ref="G15">IF($B15="","",_xll.SNL.Clients.Office.Excel.Functions.SPG($B15,"SP_LASTSALEPRICE",WORKDAY($F$2+1,-1),"Options:Curr="&amp;I15&amp;",NA=--"))</f>
        <v/>
      </c>
      <c r="H15" s="13" t="str" cm="1">
        <f t="array" ref="H15">IF($B15="","",_xll.SNL.Clients.Office.Excel.Functions.SPG($B15,"SP_PRICE_CLOSE",WORKDAY($F$2+1,-1),"Options:Curr="&amp;$F$3&amp;", NA=--"))</f>
        <v/>
      </c>
      <c r="I15" s="40" t="str" cm="1">
        <f t="array" ref="I15">IF($B15="","",_xll.SNL.Clients.Office.Excel.Functions.SPG($B15,"SP_TRADING_CURRENCY","Options: NA=--"))</f>
        <v/>
      </c>
      <c r="J15" s="15" t="str" cm="1">
        <f t="array" ref="J15">IF($B15="","",_xll.SNL.Clients.Office.Excel.Functions.SPG($B15,"SP_MARKETCAP",WORKDAY($F$2+1,-1),"Options:Curr="&amp;$F$3&amp;", Mag=Millions, NA=--"))</f>
        <v/>
      </c>
      <c r="K15" s="15" t="str" cm="1">
        <f t="array" ref="K15">IF($B15="","",_xll.SNL.Clients.Office.Excel.Functions.SPG($B15,"IQ_TEV",WORKDAY($F$2+1,-1),"Options:Curr="&amp;$F$3&amp;", Mag=Millions, NA=--"))</f>
        <v/>
      </c>
      <c r="L15" s="16" t="str">
        <f>IFERROR(IF(OR($K15/AN15&gt;L$4,$K15/AN15&lt;L$3),"nmf ",$K15/AN15),"n/a ")</f>
        <v xml:space="preserve">n/a </v>
      </c>
      <c r="M15" s="16" t="str">
        <f>IFERROR(IF(OR($K15/AO15&gt;M$4,$K15/AO15&lt;M$3),"nmf ",$K15/AO15),"n/a ")</f>
        <v xml:space="preserve">n/a </v>
      </c>
      <c r="N15" s="16" t="str">
        <f>IFERROR(IF(OR($K15/AP15&gt;N$4,$K15/AP15&lt;N$3),"nmf ",$K15/AP15),"n/a ")</f>
        <v xml:space="preserve">n/a </v>
      </c>
      <c r="O15" s="16" t="str">
        <f>IFERROR(IF(OR($K15/AQ15&gt;O$4,$K15/AQ15&lt;O$3),"nmf ",$K15/AQ15),"n/a ")</f>
        <v xml:space="preserve">n/a </v>
      </c>
      <c r="P15" s="16" t="str">
        <f>IFERROR(IF(OR($K15/AS15&gt;P$4,$K15/AS15&lt;P$3),"nmf ",$K15/AS15),"n/a ")</f>
        <v xml:space="preserve">n/a </v>
      </c>
      <c r="Q15" s="16" t="str">
        <f>IFERROR(IF(OR($K15/AT15&gt;Q$4,$K15/AT15&lt;Q$3),"nmf ",$K15/AT15),"n/a ")</f>
        <v xml:space="preserve">n/a </v>
      </c>
      <c r="R15" s="16" t="str">
        <f>IFERROR(IF(OR($K15/AU15&gt;R$4,$K15/AU15&lt;R$3),"nmf ",$K15/AU15),"n/a ")</f>
        <v xml:space="preserve">n/a </v>
      </c>
      <c r="S15" s="16" t="str">
        <f>IFERROR(IF(OR($K15/AV15&gt;S$4,$K15/AV15&lt;S$3),"nmf ",$K15/AV15),"n/a ")</f>
        <v xml:space="preserve">n/a </v>
      </c>
      <c r="T15" s="33" t="str">
        <f>IFERROR((AP15/AO15)-1,"n/a ")</f>
        <v xml:space="preserve">n/a </v>
      </c>
      <c r="U15" s="33" t="str">
        <f>IFERROR((AQ15/AP15)-1,"n/a ")</f>
        <v xml:space="preserve">n/a </v>
      </c>
      <c r="V15" s="16" t="str">
        <f>IFERROR($H15/AX15,"n/a ")</f>
        <v xml:space="preserve">n/a </v>
      </c>
      <c r="W15" s="16" t="str">
        <f>IFERROR($H15/AY15,"n/a ")</f>
        <v xml:space="preserve">n/a </v>
      </c>
      <c r="X15" s="16" t="str">
        <f>IFERROR($H15/AZ15,"n/a ")</f>
        <v xml:space="preserve">n/a </v>
      </c>
      <c r="Y15" s="16" t="str">
        <f>IFERROR($H15/BB15,"n/a ")</f>
        <v xml:space="preserve">n/a </v>
      </c>
      <c r="Z15" s="16" t="str">
        <f>IFERROR($H15/BC15,"n/a ")</f>
        <v xml:space="preserve">n/a </v>
      </c>
      <c r="AA15" s="16" t="str">
        <f>IFERROR($H15/BD15,"n/a ")</f>
        <v xml:space="preserve">n/a </v>
      </c>
      <c r="AB15" s="33" t="str">
        <f t="shared" si="4"/>
        <v/>
      </c>
      <c r="AC15" s="33" t="str">
        <f t="shared" si="4"/>
        <v/>
      </c>
      <c r="AD15" s="33" t="str">
        <f t="shared" si="5"/>
        <v/>
      </c>
      <c r="AE15" s="33" t="str">
        <f t="shared" si="6"/>
        <v/>
      </c>
      <c r="AF15" s="33" t="str">
        <f t="shared" si="7"/>
        <v xml:space="preserve">n/a </v>
      </c>
      <c r="AG15" s="33" t="str">
        <f t="shared" si="7"/>
        <v xml:space="preserve">n/a </v>
      </c>
      <c r="AH15" s="33" t="str">
        <f t="shared" si="8"/>
        <v xml:space="preserve">n/a </v>
      </c>
      <c r="AI15" s="33" t="str">
        <f t="shared" si="9"/>
        <v xml:space="preserve">n/a </v>
      </c>
      <c r="AJ15" s="83" t="str">
        <f t="shared" si="10"/>
        <v xml:space="preserve">n/a </v>
      </c>
      <c r="AK15" s="83" t="str">
        <f t="shared" si="11"/>
        <v xml:space="preserve">n/a </v>
      </c>
      <c r="AL15" s="72"/>
      <c r="AN15" s="20" t="str" cm="1">
        <f t="array" ref="AN15">IF($B15="","",_xll.SNL.Clients.Office.Excel.Functions.SPG($B15,"IQ_REV",AN$7,$F$2,"Options:Curr="&amp;$F$3&amp;", Mag=Millions, NA=--"))</f>
        <v/>
      </c>
      <c r="AO15" s="20" t="str" cm="1">
        <f t="array" ref="AO15">IF($B15="","",_xll.SNL.Clients.Office.Excel.Functions.SPG($B15,"SP_REV_EST",AO$7,$F$2,"Options:Curr="&amp;$F$3&amp;", Mag=Millions, NA=--"))</f>
        <v/>
      </c>
      <c r="AP15" s="20" t="str" cm="1">
        <f t="array" ref="AP15">IF($B15="","",_xll.SNL.Clients.Office.Excel.Functions.SPG($B15,"SP_REV_EST",AP$7,$F$2,"Options:Curr="&amp;$F$3&amp;", Mag=Millions, NA=--"))</f>
        <v/>
      </c>
      <c r="AQ15" s="20" t="str" cm="1">
        <f t="array" ref="AQ15">IF($B15="","",_xll.SNL.Clients.Office.Excel.Functions.SPG($B15,"SP_REV_EST",AQ$7,$F$2,"Options:Curr="&amp;$F$3&amp;", Mag=Millions, NA=--"))</f>
        <v/>
      </c>
      <c r="AS15" s="20" t="str" cm="1">
        <f t="array" ref="AS15">IF($B15="","",_xll.SNL.Clients.Office.Excel.Functions.SPG($B15,"SP_EBITDA",AS$7,$F$2,"Options:Curr="&amp;$F$3&amp;", Mag=Millions, NA=--"))</f>
        <v/>
      </c>
      <c r="AT15" s="20" t="str" cm="1">
        <f t="array" ref="AT15">IF($B15="","",_xll.SNL.Clients.Office.Excel.Functions.SPG($B15,"SP_EBITDA_EST",AT$7,$F$2,"Options:Curr="&amp;$F$3&amp;", Mag=Millions, NA=--"))</f>
        <v/>
      </c>
      <c r="AU15" s="20" t="str" cm="1">
        <f t="array" ref="AU15">IF($B15="","",_xll.SNL.Clients.Office.Excel.Functions.SPG($B15,"SP_EBITDA_EST",AU$7,$F$2,"Options:Curr="&amp;$F$3&amp;", Mag=Millions, NA=--"))</f>
        <v/>
      </c>
      <c r="AV15" s="20" t="str" cm="1">
        <f t="array" ref="AV15">IF($B15="","",_xll.SNL.Clients.Office.Excel.Functions.SPG($B15,"SP_EBITDA_EST",AV$7,$F$2,"Options:Curr="&amp;$F$3&amp;", Mag=Millions, NA=--"))</f>
        <v/>
      </c>
      <c r="AX15" s="13" t="str" cm="1">
        <f t="array" ref="AX15">IF($B15="","",_xll.SNL.Clients.Office.Excel.Functions.SPG($B15,"SP_EPS_EST",AX$7,$F$2,"Options:Curr="&amp;$F$3&amp;", NA=--"))</f>
        <v/>
      </c>
      <c r="AY15" s="13" t="str" cm="1">
        <f t="array" ref="AY15">IF($B15="","",_xll.SNL.Clients.Office.Excel.Functions.SPG($B15,"SP_EPS_EST",AY$7,$F$2,"Options:Curr="&amp;$F$3&amp;", NA=--"))</f>
        <v/>
      </c>
      <c r="AZ15" s="13" t="str" cm="1">
        <f t="array" ref="AZ15">IF($B15="","",_xll.SNL.Clients.Office.Excel.Functions.SPG($B15,"SP_EPS_EST",AZ$7,$F$2,"Options:Curr="&amp;$F$3&amp;", NA=--"))</f>
        <v/>
      </c>
      <c r="BB15" s="13" t="str" cm="1">
        <f t="array" ref="BB15">IF($B15="","",_xll.SNL.Clients.Office.Excel.Functions.SPG($B15,"SP_CFPS_EST",BB$7,$F$2,"Options:Curr="&amp;$F$3&amp;", NA=--"))</f>
        <v/>
      </c>
      <c r="BC15" s="13" t="str" cm="1">
        <f t="array" ref="BC15">IF($B15="","",_xll.SNL.Clients.Office.Excel.Functions.SPG($B15,"SP_CFPS_EST",BC$7,$F$2,"Options:Curr="&amp;$F$3&amp;", NA=--"))</f>
        <v/>
      </c>
      <c r="BD15" s="13" t="str" cm="1">
        <f t="array" ref="BD15">IF($B15="","",_xll.SNL.Clients.Office.Excel.Functions.SPG($B15,"SP_CFPS_EST",BD$7,$F$2,"Options:Curr="&amp;$F$3&amp;", NA=--"))</f>
        <v/>
      </c>
      <c r="BF15" s="66" t="str" cm="1">
        <f t="array" ref="BF15">IF($B15="","",_xll.SNL.Clients.Office.Excel.Functions.SPG($B15,"SP_DIV_YIELD",WORKDAY($F$2+1,-1),"Options: NA=--"))</f>
        <v/>
      </c>
      <c r="BG15" s="19" t="str" cm="1">
        <f t="array" ref="BG15">IF($B15="","",_xll.SNL.Clients.Office.Excel.Functions.SPG($B15,"IQ_TOTAL_EQUITY","FQ0",$F$2,"Options:Curr="&amp;$F$3&amp;", Mag=Millions, NA=--"))</f>
        <v/>
      </c>
      <c r="BH15" s="19" t="str" cm="1">
        <f t="array" ref="BH15">IF($B15="","",_xll.SNL.Clients.Office.Excel.Functions.SPG($B15,"IQ_TOTAL_DEBT","FQ0",$F$2,"Options:Curr="&amp;$F$3&amp;", Mag=Millions, NA=--"))</f>
        <v/>
      </c>
      <c r="BI15" s="19" t="str" cm="1">
        <f t="array" ref="BI15">IF($B15="","",_xll.SNL.Clients.Office.Excel.Functions.SPG($B15,"IQ_CASH_ST_INVEST","FQ0",$F$2,"Options:Curr="&amp;$F$3&amp;", Mag=Millions, NA=--"))</f>
        <v/>
      </c>
      <c r="BJ15" s="37" t="e">
        <f>+BH15-BI15</f>
        <v>#VALUE!</v>
      </c>
      <c r="BK15" s="19" t="str" cm="1">
        <f t="array" ref="BK15">IF($B15="","",_xll.SNL.Clients.Office.Excel.Functions.SPG($B15,"IQ_TOTAL_EQUITY","FQ0",$F$2,"Options:Curr="&amp;$F$3&amp;", Mag=Millions, NA=--"))</f>
        <v/>
      </c>
      <c r="BM15" s="20" t="str">
        <f>IFERROR($AO15*$BR15,"n/a")</f>
        <v>n/a</v>
      </c>
      <c r="BN15" s="20" t="str">
        <f>IFERROR($AP15*BS15,"n/a")</f>
        <v>n/a</v>
      </c>
      <c r="BO15" s="20" t="str">
        <f>IFERROR($AQ15*$BT15,"n/a")</f>
        <v>n/a</v>
      </c>
      <c r="BQ15" s="44" t="str">
        <f>IF($B15="","",IFERROR(_xll.SNL.Clients.Office.Excel.Functions.SPG($B15,"SP_GROSS_MARGIN",BQ$7,$F$2,"Options: NA=--")/100,"--"))</f>
        <v/>
      </c>
      <c r="BR15" s="44" t="str">
        <f>IF($B15="","",IFERROR(_xll.SNL.Clients.Office.Excel.Functions.SPG($B15,"SP_GROSS_MARGIN_EST",BR$7,$F$2,"Options: NA=--")/100,"--"))</f>
        <v/>
      </c>
      <c r="BS15" s="44" t="str">
        <f>IF($B15="","",IFERROR(_xll.SNL.Clients.Office.Excel.Functions.SPG($B15,"SP_GROSS_MARGIN_EST",BS$7,$F$2,"Options: NA=--")/100,"--"))</f>
        <v/>
      </c>
      <c r="BT15" s="44" t="str">
        <f>IF($B15="","",IFERROR(_xll.SNL.Clients.Office.Excel.Functions.SPG($B15,"SP_GROSS_MARGIN_EST",BT$7,$F$2,"Options: NA=--")/100,"--"))</f>
        <v/>
      </c>
      <c r="BU15" s="45"/>
      <c r="BV15" s="47" t="str" cm="1">
        <f t="array" ref="BV15">IF($B15="","",_xll.SNL.Clients.Office.Excel.Functions.SPG($B15,"SP_GROSS_MARGIN_NUM_EST",BV$7,$F$2,"Options: NA=--"))</f>
        <v/>
      </c>
      <c r="BW15" s="47" t="str" cm="1">
        <f t="array" ref="BW15">IF($B15="","",_xll.SNL.Clients.Office.Excel.Functions.SPG($B15,"SP_GROSS_MARGIN_NUM_EST",BW$7,$F$2,"Options: NA=--"))</f>
        <v/>
      </c>
      <c r="BX15" s="47" t="str" cm="1">
        <f t="array" ref="BX15">IF($B15="","",_xll.SNL.Clients.Office.Excel.Functions.SPG($B15,"SP_GROSS_MARGIN_NUM_EST",BX$7,$F$2,"Options: NA=--"))</f>
        <v/>
      </c>
      <c r="BZ15" s="62" t="str">
        <f>IFERROR(IF(CD15/AO15&lt;0,"nmf ",CD15/AO15),"n/a ")</f>
        <v xml:space="preserve">n/a </v>
      </c>
      <c r="CA15" s="62" t="str">
        <f>IFERROR(IF(CE15/AP15&lt;0,"nmf ",CE15/AP15),"n/a ")</f>
        <v xml:space="preserve">n/a </v>
      </c>
      <c r="CB15" s="62" t="str">
        <f>IFERROR(IF(CF15/AQ15&lt;0,"nmf ",CF15/AQ15),"n/a ")</f>
        <v xml:space="preserve">n/a </v>
      </c>
      <c r="CD15" s="20" t="str">
        <f>IFERROR(BR15*AO15,"--")</f>
        <v>--</v>
      </c>
      <c r="CE15" s="20" t="str">
        <f>IFERROR(BS15*AP15,"--")</f>
        <v>--</v>
      </c>
      <c r="CF15" s="20" t="str">
        <f>IFERROR(BT15*AQ15,"--")</f>
        <v>--</v>
      </c>
    </row>
    <row r="16" spans="2:84" s="10" customFormat="1" ht="3" customHeight="1" x14ac:dyDescent="0.25">
      <c r="B16" s="11"/>
      <c r="G16" s="14"/>
      <c r="H16" s="14"/>
      <c r="I16" s="40"/>
      <c r="J16" s="22"/>
      <c r="K16" s="23"/>
      <c r="L16" s="23"/>
      <c r="M16" s="16"/>
      <c r="N16" s="16"/>
      <c r="O16" s="16"/>
      <c r="P16" s="16"/>
      <c r="Q16" s="16"/>
      <c r="R16" s="16"/>
      <c r="S16" s="16"/>
      <c r="T16" s="17"/>
      <c r="U16" s="17"/>
      <c r="V16" s="16"/>
      <c r="W16" s="16"/>
      <c r="X16" s="16"/>
      <c r="Y16" s="16"/>
      <c r="Z16" s="16"/>
      <c r="AA16" s="16"/>
      <c r="AB16" s="17"/>
      <c r="AC16" s="17"/>
      <c r="AD16" s="17"/>
      <c r="AE16" s="17"/>
      <c r="AF16" s="17"/>
      <c r="AG16" s="17"/>
      <c r="AH16" s="17"/>
      <c r="AI16" s="17"/>
      <c r="AJ16" s="17"/>
      <c r="AK16" s="17"/>
      <c r="AL16" s="17"/>
      <c r="AN16" s="13"/>
      <c r="AO16" s="13"/>
      <c r="AP16" s="13"/>
      <c r="AQ16" s="13"/>
      <c r="AT16" s="20"/>
      <c r="AU16" s="20"/>
      <c r="AV16" s="20"/>
      <c r="AX16" s="13"/>
      <c r="AY16" s="13"/>
      <c r="AZ16" s="13"/>
      <c r="BF16" s="66"/>
      <c r="BG16" s="19"/>
      <c r="BH16" s="19"/>
      <c r="BI16" s="19"/>
      <c r="BJ16" s="19"/>
      <c r="BK16" s="19"/>
      <c r="BR16" s="45"/>
      <c r="BS16" s="45"/>
      <c r="BT16" s="45"/>
      <c r="BU16" s="45"/>
      <c r="BV16" s="48"/>
      <c r="BW16" s="48"/>
      <c r="BX16" s="48"/>
      <c r="BZ16" s="63"/>
      <c r="CA16" s="63"/>
      <c r="CB16" s="63"/>
    </row>
    <row r="17" spans="2:84" s="10" customFormat="1" ht="16.350000000000001" customHeight="1" x14ac:dyDescent="0.25">
      <c r="B17" s="11"/>
      <c r="D17" s="24" t="s">
        <v>22</v>
      </c>
      <c r="E17" s="24"/>
      <c r="F17" s="24"/>
      <c r="G17" s="24"/>
      <c r="H17" s="24"/>
      <c r="I17" s="41"/>
      <c r="J17" s="25"/>
      <c r="K17" s="25"/>
      <c r="L17" s="35" t="str">
        <f t="shared" ref="L17:AK17" si="20">IFERROR(AVERAGE(L10:L15),"n/a ")</f>
        <v xml:space="preserve">n/a </v>
      </c>
      <c r="M17" s="35" t="str">
        <f t="shared" si="20"/>
        <v xml:space="preserve">n/a </v>
      </c>
      <c r="N17" s="26" t="str">
        <f t="shared" si="20"/>
        <v xml:space="preserve">n/a </v>
      </c>
      <c r="O17" s="35" t="str">
        <f t="shared" si="20"/>
        <v xml:space="preserve">n/a </v>
      </c>
      <c r="P17" s="35" t="str">
        <f t="shared" si="20"/>
        <v xml:space="preserve">n/a </v>
      </c>
      <c r="Q17" s="26" t="str">
        <f t="shared" si="20"/>
        <v xml:space="preserve">n/a </v>
      </c>
      <c r="R17" s="26" t="str">
        <f t="shared" si="20"/>
        <v xml:space="preserve">n/a </v>
      </c>
      <c r="S17" s="26" t="str">
        <f t="shared" si="20"/>
        <v xml:space="preserve">n/a </v>
      </c>
      <c r="T17" s="36" t="str">
        <f t="shared" si="20"/>
        <v xml:space="preserve">n/a </v>
      </c>
      <c r="U17" s="36" t="str">
        <f t="shared" si="20"/>
        <v xml:space="preserve">n/a </v>
      </c>
      <c r="V17" s="26" t="str">
        <f t="shared" si="20"/>
        <v xml:space="preserve">n/a </v>
      </c>
      <c r="W17" s="26" t="str">
        <f t="shared" si="20"/>
        <v xml:space="preserve">n/a </v>
      </c>
      <c r="X17" s="26" t="str">
        <f t="shared" si="20"/>
        <v xml:space="preserve">n/a </v>
      </c>
      <c r="Y17" s="26" t="str">
        <f t="shared" si="20"/>
        <v xml:space="preserve">n/a </v>
      </c>
      <c r="Z17" s="26" t="str">
        <f t="shared" si="20"/>
        <v xml:space="preserve">n/a </v>
      </c>
      <c r="AA17" s="26" t="str">
        <f t="shared" si="20"/>
        <v xml:space="preserve">n/a </v>
      </c>
      <c r="AB17" s="36" t="str">
        <f t="shared" ref="AB17" si="21">IFERROR(AVERAGE(AB10:AB15),"n/a ")</f>
        <v xml:space="preserve">n/a </v>
      </c>
      <c r="AC17" s="36" t="str">
        <f t="shared" si="20"/>
        <v xml:space="preserve">n/a </v>
      </c>
      <c r="AD17" s="36" t="str">
        <f t="shared" si="20"/>
        <v xml:space="preserve">n/a </v>
      </c>
      <c r="AE17" s="36" t="str">
        <f t="shared" si="20"/>
        <v xml:space="preserve">n/a </v>
      </c>
      <c r="AF17" s="36" t="str">
        <f t="shared" ref="AF17" si="22">IFERROR(AVERAGE(AF10:AF15),"n/a ")</f>
        <v xml:space="preserve">n/a </v>
      </c>
      <c r="AG17" s="36" t="str">
        <f t="shared" si="20"/>
        <v xml:space="preserve">n/a </v>
      </c>
      <c r="AH17" s="36" t="str">
        <f t="shared" si="20"/>
        <v xml:space="preserve">n/a </v>
      </c>
      <c r="AI17" s="36" t="str">
        <f t="shared" si="20"/>
        <v xml:space="preserve">n/a </v>
      </c>
      <c r="AJ17" s="84" t="str">
        <f t="shared" si="20"/>
        <v xml:space="preserve">n/a </v>
      </c>
      <c r="AK17" s="84" t="str">
        <f t="shared" si="20"/>
        <v xml:space="preserve">n/a </v>
      </c>
      <c r="AL17" s="36"/>
      <c r="AT17" s="27"/>
      <c r="AU17" s="27"/>
      <c r="AV17" s="27"/>
      <c r="BF17" s="67"/>
      <c r="BR17" s="45"/>
      <c r="BS17" s="45"/>
      <c r="BT17" s="45"/>
      <c r="BU17" s="45"/>
      <c r="BV17" s="48"/>
      <c r="BW17" s="48"/>
      <c r="BX17" s="48"/>
      <c r="BZ17" s="63"/>
      <c r="CA17" s="63"/>
      <c r="CB17" s="63"/>
    </row>
    <row r="18" spans="2:84" s="10" customFormat="1" ht="3" customHeight="1" x14ac:dyDescent="0.25">
      <c r="B18" s="11"/>
      <c r="I18" s="42"/>
      <c r="J18" s="28"/>
      <c r="K18" s="28"/>
      <c r="L18" s="28"/>
      <c r="AT18" s="27"/>
      <c r="AU18" s="27"/>
      <c r="AV18" s="27"/>
      <c r="BF18" s="67"/>
      <c r="BR18" s="45"/>
      <c r="BS18" s="45"/>
      <c r="BT18" s="45"/>
      <c r="BU18" s="45"/>
      <c r="BV18" s="48"/>
      <c r="BW18" s="48"/>
      <c r="BX18" s="48"/>
      <c r="BZ18" s="63"/>
      <c r="CA18" s="63"/>
      <c r="CB18" s="63"/>
    </row>
    <row r="19" spans="2:84" s="10" customFormat="1" ht="16.350000000000001" customHeight="1" x14ac:dyDescent="0.25">
      <c r="B19" s="11"/>
      <c r="D19" s="71" t="s">
        <v>51</v>
      </c>
      <c r="G19" s="14"/>
      <c r="H19" s="14"/>
      <c r="I19" s="40"/>
      <c r="J19" s="22"/>
      <c r="K19" s="22"/>
      <c r="L19" s="22"/>
      <c r="M19" s="18"/>
      <c r="N19" s="18"/>
      <c r="O19" s="18"/>
      <c r="P19" s="18"/>
      <c r="Q19" s="18"/>
      <c r="R19" s="18"/>
      <c r="S19" s="18"/>
      <c r="T19" s="17"/>
      <c r="U19" s="17"/>
      <c r="V19" s="18"/>
      <c r="W19" s="18"/>
      <c r="X19" s="18"/>
      <c r="Y19" s="18"/>
      <c r="Z19" s="18"/>
      <c r="AA19" s="18"/>
      <c r="AB19" s="17"/>
      <c r="AC19" s="17"/>
      <c r="AD19" s="17"/>
      <c r="AE19" s="17"/>
      <c r="AF19" s="17"/>
      <c r="AG19" s="17"/>
      <c r="AH19" s="17"/>
      <c r="AI19" s="17"/>
      <c r="AJ19" s="17"/>
      <c r="AK19" s="17"/>
      <c r="AL19" s="17"/>
      <c r="AN19" s="13"/>
      <c r="AO19" s="13"/>
      <c r="AP19" s="13"/>
      <c r="AQ19" s="13"/>
      <c r="AT19" s="20"/>
      <c r="AU19" s="20"/>
      <c r="AV19" s="20"/>
      <c r="AX19" s="13"/>
      <c r="AY19" s="13"/>
      <c r="AZ19" s="13"/>
      <c r="BF19" s="66"/>
      <c r="BG19" s="19"/>
      <c r="BH19" s="19"/>
      <c r="BI19" s="19"/>
      <c r="BJ19" s="19"/>
      <c r="BK19" s="19"/>
      <c r="BR19" s="45"/>
      <c r="BS19" s="45"/>
      <c r="BT19" s="45"/>
      <c r="BU19" s="45"/>
      <c r="BV19" s="48"/>
      <c r="BW19" s="48"/>
      <c r="BX19" s="48"/>
      <c r="BZ19" s="63"/>
      <c r="CA19" s="63"/>
      <c r="CB19" s="63"/>
    </row>
    <row r="20" spans="2:84" s="10" customFormat="1" ht="16.350000000000001" customHeight="1" x14ac:dyDescent="0.25">
      <c r="B20" s="34"/>
      <c r="D20" s="10" t="str" cm="1">
        <f t="array" ref="D20">IF($B20="","",_xll.SNL.Clients.Office.Excel.Functions.SPG($B20, "SP_COMPANY_NAME"))</f>
        <v/>
      </c>
      <c r="G20" s="21" t="str" cm="1">
        <f t="array" ref="G20">IF($B20="","",_xll.SNL.Clients.Office.Excel.Functions.SPG($B20,"SP_LASTSALEPRICE",WORKDAY($F$2+1,-1),"Options:Curr="&amp;I20&amp;",NA=--"))</f>
        <v/>
      </c>
      <c r="H20" s="13" t="str" cm="1">
        <f t="array" ref="H20">IF($B20="","",_xll.SNL.Clients.Office.Excel.Functions.SPG($B20,"SP_PRICE_CLOSE",WORKDAY($F$2+1,-1),"Options:Curr="&amp;$F$3&amp;", NA=--"))</f>
        <v/>
      </c>
      <c r="I20" s="40" t="str" cm="1">
        <f t="array" ref="I20">IF($B20="","",_xll.SNL.Clients.Office.Excel.Functions.SPG($B20,"SP_TRADING_CURRENCY","Options: NA=--"))</f>
        <v/>
      </c>
      <c r="J20" s="15" t="str" cm="1">
        <f t="array" ref="J20">IF($B20="","",_xll.SNL.Clients.Office.Excel.Functions.SPG($B20,"SP_MARKETCAP",WORKDAY($F$2+1,-1),"Options:Curr="&amp;$F$3&amp;", Mag=Millions, NA=--"))</f>
        <v/>
      </c>
      <c r="K20" s="15" t="str" cm="1">
        <f t="array" ref="K20">IF($B20="","",_xll.SNL.Clients.Office.Excel.Functions.SPG($B20,"IQ_TEV",WORKDAY($F$2+1,-1),"Options:Curr="&amp;$F$3&amp;", Mag=Millions, NA=--"))</f>
        <v/>
      </c>
      <c r="L20" s="16" t="str">
        <f>IFERROR(IF(OR($K20/AN20&gt;L$4,$K20/AN20&lt;L$3),"nmf ",$K20/AN20),"n/a ")</f>
        <v xml:space="preserve">n/a </v>
      </c>
      <c r="M20" s="16" t="str">
        <f>IFERROR(IF(OR($K20/AO20&gt;M$4,$K20/AO20&lt;M$3),"nmf ",$K20/AO20),"n/a ")</f>
        <v xml:space="preserve">n/a </v>
      </c>
      <c r="N20" s="16" t="str">
        <f>IFERROR(IF(OR($K20/AP20&gt;N$4,$K20/AP20&lt;N$3),"nmf ",$K20/AP20),"n/a ")</f>
        <v xml:space="preserve">n/a </v>
      </c>
      <c r="O20" s="16" t="str">
        <f>IFERROR(IF(OR($K20/AQ20&gt;O$4,$K20/AQ20&lt;O$3),"nmf ",$K20/AQ20),"n/a ")</f>
        <v xml:space="preserve">n/a </v>
      </c>
      <c r="P20" s="16" t="str">
        <f>IFERROR(IF(OR($K20/AS20&gt;P$4,$K20/AS20&lt;P$3),"nmf ",$K20/AS20),"n/a ")</f>
        <v xml:space="preserve">n/a </v>
      </c>
      <c r="Q20" s="16" t="str">
        <f>IFERROR(IF(OR($K20/AT20&gt;Q$4,$K20/AT20&lt;Q$3),"nmf ",$K20/AT20),"n/a ")</f>
        <v xml:space="preserve">n/a </v>
      </c>
      <c r="R20" s="16" t="str">
        <f>IFERROR(IF(OR($K20/AU20&gt;R$4,$K20/AU20&lt;R$3),"nmf ",$K20/AU20),"n/a ")</f>
        <v xml:space="preserve">n/a </v>
      </c>
      <c r="S20" s="16" t="str">
        <f>IFERROR(IF(OR($K20/AV20&gt;S$4,$K20/AV20&lt;S$3),"nmf ",$K20/AV20),"n/a ")</f>
        <v xml:space="preserve">n/a </v>
      </c>
      <c r="T20" s="33" t="str">
        <f t="shared" ref="T20:U25" si="23">IFERROR((AP20/AO20)-1,"n/a ")</f>
        <v xml:space="preserve">n/a </v>
      </c>
      <c r="U20" s="33" t="str">
        <f t="shared" si="23"/>
        <v xml:space="preserve">n/a </v>
      </c>
      <c r="V20" s="16" t="str">
        <f>IFERROR($H20/AX20,"n/a ")</f>
        <v xml:space="preserve">n/a </v>
      </c>
      <c r="W20" s="16" t="str">
        <f>IFERROR($H20/AY20,"n/a ")</f>
        <v xml:space="preserve">n/a </v>
      </c>
      <c r="X20" s="16" t="str">
        <f>IFERROR($H20/AZ20,"n/a ")</f>
        <v xml:space="preserve">n/a </v>
      </c>
      <c r="Y20" s="16" t="str">
        <f>IFERROR($H20/BB20,"n/a ")</f>
        <v xml:space="preserve">n/a </v>
      </c>
      <c r="Z20" s="16" t="str">
        <f>IFERROR($H20/BC20,"n/a ")</f>
        <v xml:space="preserve">n/a </v>
      </c>
      <c r="AA20" s="16" t="str">
        <f>IFERROR($H20/BD20,"n/a ")</f>
        <v xml:space="preserve">n/a </v>
      </c>
      <c r="AB20" s="33" t="str">
        <f>IFERROR(IF(BQ20="--","n/a ",BQ20),"n/a ")</f>
        <v/>
      </c>
      <c r="AC20" s="33" t="str">
        <f>IFERROR(IF(BR20="--","n/a ",BR20),"n/a ")</f>
        <v/>
      </c>
      <c r="AD20" s="33" t="str">
        <f t="shared" ref="AD20:AD25" si="24">IFERROR(IF(BS20="--","n/a ",BS20),"n/a ")</f>
        <v/>
      </c>
      <c r="AE20" s="33" t="str">
        <f t="shared" ref="AE20:AE25" si="25">IFERROR(IF(BT20="--","n/a ",BT20),"n/a ")</f>
        <v/>
      </c>
      <c r="AF20" s="33" t="str">
        <f>IFERROR((AS20/AN20),"n/a ")</f>
        <v xml:space="preserve">n/a </v>
      </c>
      <c r="AG20" s="33" t="str">
        <f>IFERROR((AT20/AO20),"n/a ")</f>
        <v xml:space="preserve">n/a </v>
      </c>
      <c r="AH20" s="33" t="str">
        <f t="shared" ref="AH20:AH25" si="26">IFERROR((AU20/AP20),"n/a ")</f>
        <v xml:space="preserve">n/a </v>
      </c>
      <c r="AI20" s="33" t="str">
        <f t="shared" ref="AI20:AI25" si="27">IFERROR((AV20/AQ20),"n/a ")</f>
        <v xml:space="preserve">n/a </v>
      </c>
      <c r="AJ20" s="83" t="str">
        <f>IFERROR((BJ20/AT20),"n/a ")</f>
        <v xml:space="preserve">n/a </v>
      </c>
      <c r="AK20" s="83" t="str">
        <f>IFERROR((BJ20/AU20),"n/a ")</f>
        <v xml:space="preserve">n/a </v>
      </c>
      <c r="AL20" s="72"/>
      <c r="AN20" s="20" t="str" cm="1">
        <f t="array" ref="AN20">IF($B20="","",_xll.SNL.Clients.Office.Excel.Functions.SPG($B20,"IQ_REV",AN$7,$F$2,"Options:Curr="&amp;$F$3&amp;", Mag=Millions, NA=--"))</f>
        <v/>
      </c>
      <c r="AO20" s="20" t="str" cm="1">
        <f t="array" ref="AO20">IF($B20="","",_xll.SNL.Clients.Office.Excel.Functions.SPG($B20,"SP_REV_EST",AO$7,$F$2,"Options:Curr="&amp;$F$3&amp;", Mag=Millions, NA=--"))</f>
        <v/>
      </c>
      <c r="AP20" s="20" t="str" cm="1">
        <f t="array" ref="AP20">IF($B20="","",_xll.SNL.Clients.Office.Excel.Functions.SPG($B20,"SP_REV_EST",AP$7,$F$2,"Options:Curr="&amp;$F$3&amp;", Mag=Millions, NA=--"))</f>
        <v/>
      </c>
      <c r="AQ20" s="20" t="str" cm="1">
        <f t="array" ref="AQ20">IF($B20="","",_xll.SNL.Clients.Office.Excel.Functions.SPG($B20,"SP_REV_EST",AQ$7,$F$2,"Options:Curr="&amp;$F$3&amp;", Mag=Millions, NA=--"))</f>
        <v/>
      </c>
      <c r="AS20" s="20" t="str" cm="1">
        <f t="array" ref="AS20">IF($B20="","",_xll.SNL.Clients.Office.Excel.Functions.SPG($B20,"SP_EBITDA",AS$7,$F$2,"Options:Curr="&amp;$F$3&amp;", Mag=Millions, NA=--"))</f>
        <v/>
      </c>
      <c r="AT20" s="20" t="str" cm="1">
        <f t="array" ref="AT20">IF($B20="","",_xll.SNL.Clients.Office.Excel.Functions.SPG($B20,"SP_EBITDA_EST",AT$7,$F$2,"Options:Curr="&amp;$F$3&amp;", Mag=Millions, NA=--"))</f>
        <v/>
      </c>
      <c r="AU20" s="20" t="str" cm="1">
        <f t="array" ref="AU20">IF($B20="","",_xll.SNL.Clients.Office.Excel.Functions.SPG($B20,"SP_EBITDA_EST",AU$7,$F$2,"Options:Curr="&amp;$F$3&amp;", Mag=Millions, NA=--"))</f>
        <v/>
      </c>
      <c r="AV20" s="20" t="str" cm="1">
        <f t="array" ref="AV20">IF($B20="","",_xll.SNL.Clients.Office.Excel.Functions.SPG($B20,"SP_EBITDA_EST",AV$7,$F$2,"Options:Curr="&amp;$F$3&amp;", Mag=Millions, NA=--"))</f>
        <v/>
      </c>
      <c r="AX20" s="13" t="str" cm="1">
        <f t="array" ref="AX20">IF($B20="","",_xll.SNL.Clients.Office.Excel.Functions.SPG($B20,"SP_EPS_EST",AX$7,$F$2,"Options:Curr="&amp;$F$3&amp;", NA=--"))</f>
        <v/>
      </c>
      <c r="AY20" s="13" t="str" cm="1">
        <f t="array" ref="AY20">IF($B20="","",_xll.SNL.Clients.Office.Excel.Functions.SPG($B20,"SP_EPS_EST",AY$7,$F$2,"Options:Curr="&amp;$F$3&amp;", NA=--"))</f>
        <v/>
      </c>
      <c r="AZ20" s="13" t="str" cm="1">
        <f t="array" ref="AZ20">IF($B20="","",_xll.SNL.Clients.Office.Excel.Functions.SPG($B20,"SP_EPS_EST",AZ$7,$F$2,"Options:Curr="&amp;$F$3&amp;", NA=--"))</f>
        <v/>
      </c>
      <c r="BB20" s="13" t="str" cm="1">
        <f t="array" ref="BB20">IF($B20="","",_xll.SNL.Clients.Office.Excel.Functions.SPG($B20,"SP_CFPS_EST",BB$7,$F$2,"Options:Curr="&amp;$F$3&amp;", NA=--"))</f>
        <v/>
      </c>
      <c r="BC20" s="13" t="str" cm="1">
        <f t="array" ref="BC20">IF($B20="","",_xll.SNL.Clients.Office.Excel.Functions.SPG($B20,"SP_CFPS_EST",BC$7,$F$2,"Options:Curr="&amp;$F$3&amp;", NA=--"))</f>
        <v/>
      </c>
      <c r="BD20" s="13" t="str" cm="1">
        <f t="array" ref="BD20">IF($B20="","",_xll.SNL.Clients.Office.Excel.Functions.SPG($B20,"SP_CFPS_EST",BD$7,$F$2,"Options:Curr="&amp;$F$3&amp;", NA=--"))</f>
        <v/>
      </c>
      <c r="BF20" s="66" t="str" cm="1">
        <f t="array" ref="BF20">IF($B20="","",_xll.SNL.Clients.Office.Excel.Functions.SPG($B20,"SP_DIV_YIELD",WORKDAY($F$2+1,-1),"Options: NA=--"))</f>
        <v/>
      </c>
      <c r="BG20" s="19" t="str" cm="1">
        <f t="array" ref="BG20">IF($B20="","",_xll.SNL.Clients.Office.Excel.Functions.SPG($B20,"IQ_TOTAL_EQUITY","FQ0",$F$2,"Options:Curr="&amp;$F$3&amp;", Mag=Millions, NA=--"))</f>
        <v/>
      </c>
      <c r="BH20" s="19" t="str" cm="1">
        <f t="array" ref="BH20">IF($B20="","",_xll.SNL.Clients.Office.Excel.Functions.SPG($B20,"IQ_TOTAL_DEBT","FQ0",$F$2,"Options:Curr="&amp;$F$3&amp;", Mag=Millions, NA=--"))</f>
        <v/>
      </c>
      <c r="BI20" s="19" t="str" cm="1">
        <f t="array" ref="BI20">IF($B20="","",_xll.SNL.Clients.Office.Excel.Functions.SPG($B20,"IQ_CASH_ST_INVEST","FQ0",$F$2,"Options:Curr="&amp;$F$3&amp;", Mag=Millions, NA=--"))</f>
        <v/>
      </c>
      <c r="BJ20" s="37" t="e">
        <f t="shared" ref="BJ20:BJ22" si="28">+BH20-BI20</f>
        <v>#VALUE!</v>
      </c>
      <c r="BK20" s="19" t="str" cm="1">
        <f t="array" ref="BK20">IF($B20="","",_xll.SNL.Clients.Office.Excel.Functions.SPG($B20,"IQ_TOTAL_EQUITY","FQ0",$F$2,"Options:Curr="&amp;$F$3&amp;", Mag=Millions, NA=--"))</f>
        <v/>
      </c>
      <c r="BM20" s="20" t="str">
        <f>IFERROR($AO20*$BR20,"n/a")</f>
        <v>n/a</v>
      </c>
      <c r="BN20" s="20" t="str">
        <f>IFERROR($AP20*BS20,"n/a")</f>
        <v>n/a</v>
      </c>
      <c r="BO20" s="20" t="str">
        <f>IFERROR($AQ20*$BT20,"n/a")</f>
        <v>n/a</v>
      </c>
      <c r="BQ20" s="44" t="str">
        <f>IF($B20="","",IFERROR(_xll.SNL.Clients.Office.Excel.Functions.SPG($B20,"SP_GROSS_MARGIN",BQ$7,$F$2,"Options: NA=--")/100,"--"))</f>
        <v/>
      </c>
      <c r="BR20" s="44" t="str">
        <f>IF($B20="","",IFERROR(_xll.SNL.Clients.Office.Excel.Functions.SPG($B20,"SP_GROSS_MARGIN_EST",BR$7,$F$2,"Options: NA=--")/100,"--"))</f>
        <v/>
      </c>
      <c r="BS20" s="44" t="str">
        <f>IF($B20="","",IFERROR(_xll.SNL.Clients.Office.Excel.Functions.SPG($B20,"SP_GROSS_MARGIN_EST",BS$7,$F$2,"Options: NA=--")/100,"--"))</f>
        <v/>
      </c>
      <c r="BT20" s="44" t="str">
        <f>IF($B20="","",IFERROR(_xll.SNL.Clients.Office.Excel.Functions.SPG($B20,"SP_GROSS_MARGIN_EST",BT$7,$F$2,"Options: NA=--")/100,"--"))</f>
        <v/>
      </c>
      <c r="BU20" s="45"/>
      <c r="BV20" s="47" t="str" cm="1">
        <f t="array" ref="BV20">IF($B20="","",_xll.SNL.Clients.Office.Excel.Functions.SPG($B20,"SP_GROSS_MARGIN_NUM_EST",BV$7,$F$2,"Options: NA=--"))</f>
        <v/>
      </c>
      <c r="BW20" s="47" t="str" cm="1">
        <f t="array" ref="BW20">IF($B20="","",_xll.SNL.Clients.Office.Excel.Functions.SPG($B20,"SP_GROSS_MARGIN_NUM_EST",BW$7,$F$2,"Options: NA=--"))</f>
        <v/>
      </c>
      <c r="BX20" s="47" t="str" cm="1">
        <f t="array" ref="BX20">IF($B20="","",_xll.SNL.Clients.Office.Excel.Functions.SPG($B20,"SP_GROSS_MARGIN_NUM_EST",BX$7,$F$2,"Options: NA=--"))</f>
        <v/>
      </c>
      <c r="BZ20" s="62" t="str">
        <f>IFERROR(IF(CD20/AO20&lt;0,"nmf ",CD20/AO20),"n/a ")</f>
        <v xml:space="preserve">n/a </v>
      </c>
      <c r="CA20" s="62" t="str">
        <f>IFERROR(IF(CE20/AP20&lt;0,"nmf ",CE20/AP20),"n/a ")</f>
        <v xml:space="preserve">n/a </v>
      </c>
      <c r="CB20" s="62" t="str">
        <f>IFERROR(IF(CF20/AQ20&lt;0,"nmf ",CF20/AQ20),"n/a ")</f>
        <v xml:space="preserve">n/a </v>
      </c>
      <c r="CD20" s="20" t="str">
        <f>IFERROR(BR20*AO20,"--")</f>
        <v>--</v>
      </c>
      <c r="CE20" s="20" t="str">
        <f>IFERROR(BS20*AP20,"--")</f>
        <v>--</v>
      </c>
      <c r="CF20" s="20" t="str">
        <f>IFERROR(BT20*AQ20,"--")</f>
        <v>--</v>
      </c>
    </row>
    <row r="21" spans="2:84" s="10" customFormat="1" ht="16.350000000000001" customHeight="1" x14ac:dyDescent="0.25">
      <c r="B21" s="34"/>
      <c r="D21" s="10" t="str" cm="1">
        <f t="array" ref="D21">IF($B21="","",_xll.SNL.Clients.Office.Excel.Functions.SPG($B21, "SP_COMPANY_NAME"))</f>
        <v/>
      </c>
      <c r="G21" s="21" t="str" cm="1">
        <f t="array" ref="G21">IF($B21="","",_xll.SNL.Clients.Office.Excel.Functions.SPG($B21,"SP_LASTSALEPRICE",WORKDAY($F$2+1,-1),"Options:Curr="&amp;I21&amp;",NA=--"))</f>
        <v/>
      </c>
      <c r="H21" s="13" t="str" cm="1">
        <f t="array" ref="H21">IF($B21="","",_xll.SNL.Clients.Office.Excel.Functions.SPG($B21,"SP_PRICE_CLOSE",WORKDAY($F$2+1,-1),"Options:Curr="&amp;$F$3&amp;", NA=--"))</f>
        <v/>
      </c>
      <c r="I21" s="40" t="str" cm="1">
        <f t="array" ref="I21">IF($B21="","",_xll.SNL.Clients.Office.Excel.Functions.SPG($B21,"SP_TRADING_CURRENCY","Options: NA=--"))</f>
        <v/>
      </c>
      <c r="J21" s="15" t="str" cm="1">
        <f t="array" ref="J21">IF($B21="","",_xll.SNL.Clients.Office.Excel.Functions.SPG($B21,"SP_MARKETCAP",WORKDAY($F$2+1,-1),"Options:Curr="&amp;$F$3&amp;", Mag=Millions, NA=--"))</f>
        <v/>
      </c>
      <c r="K21" s="15" t="str" cm="1">
        <f t="array" ref="K21">IF($B21="","",_xll.SNL.Clients.Office.Excel.Functions.SPG($B21,"IQ_TEV",WORKDAY($F$2+1,-1),"Options:Curr="&amp;$F$3&amp;", Mag=Millions, NA=--"))</f>
        <v/>
      </c>
      <c r="L21" s="16" t="str">
        <f>IFERROR(IF(OR($K21/AN21&gt;L$4,$K21/AN21&lt;L$3),"nmf ",$K21/AN21),"n/a ")</f>
        <v xml:space="preserve">n/a </v>
      </c>
      <c r="M21" s="16" t="str">
        <f>IFERROR(IF(OR($K21/AO21&gt;M$4,$K21/AO21&lt;M$3),"nmf ",$K21/AO21),"n/a ")</f>
        <v xml:space="preserve">n/a </v>
      </c>
      <c r="N21" s="16" t="str">
        <f>IFERROR(IF(OR($K21/AP21&gt;N$4,$K21/AP21&lt;N$3),"nmf ",$K21/AP21),"n/a ")</f>
        <v xml:space="preserve">n/a </v>
      </c>
      <c r="O21" s="16" t="str">
        <f>IFERROR(IF(OR($K21/AQ21&gt;O$4,$K21/AQ21&lt;O$3),"nmf ",$K21/AQ21),"n/a ")</f>
        <v xml:space="preserve">n/a </v>
      </c>
      <c r="P21" s="16" t="str">
        <f>IFERROR(IF(OR($K21/AS21&gt;P$4,$K21/AS21&lt;P$3),"nmf ",$K21/AS21),"n/a ")</f>
        <v xml:space="preserve">n/a </v>
      </c>
      <c r="Q21" s="16" t="str">
        <f>IFERROR(IF(OR($K21/AT21&gt;Q$4,$K21/AT21&lt;Q$3),"nmf ",$K21/AT21),"n/a ")</f>
        <v xml:space="preserve">n/a </v>
      </c>
      <c r="R21" s="16" t="str">
        <f>IFERROR(IF(OR($K21/AU21&gt;R$4,$K21/AU21&lt;R$3),"nmf ",$K21/AU21),"n/a ")</f>
        <v xml:space="preserve">n/a </v>
      </c>
      <c r="S21" s="16" t="str">
        <f>IFERROR(IF(OR($K21/AV21&gt;S$4,$K21/AV21&lt;S$3),"nmf ",$K21/AV21),"n/a ")</f>
        <v xml:space="preserve">n/a </v>
      </c>
      <c r="T21" s="33" t="str">
        <f t="shared" si="23"/>
        <v xml:space="preserve">n/a </v>
      </c>
      <c r="U21" s="33" t="str">
        <f t="shared" si="23"/>
        <v xml:space="preserve">n/a </v>
      </c>
      <c r="V21" s="16" t="str">
        <f>IFERROR($H21/AX21,"n/a ")</f>
        <v xml:space="preserve">n/a </v>
      </c>
      <c r="W21" s="16" t="str">
        <f>IFERROR($H21/AY21,"n/a ")</f>
        <v xml:space="preserve">n/a </v>
      </c>
      <c r="X21" s="16" t="str">
        <f>IFERROR($H21/AZ21,"n/a ")</f>
        <v xml:space="preserve">n/a </v>
      </c>
      <c r="Y21" s="16" t="str">
        <f>IFERROR($H21/BB21,"n/a ")</f>
        <v xml:space="preserve">n/a </v>
      </c>
      <c r="Z21" s="16" t="str">
        <f>IFERROR($H21/BC21,"n/a ")</f>
        <v xml:space="preserve">n/a </v>
      </c>
      <c r="AA21" s="16" t="str">
        <f>IFERROR($H21/BD21,"n/a ")</f>
        <v xml:space="preserve">n/a </v>
      </c>
      <c r="AB21" s="33" t="str">
        <f t="shared" ref="AB21:AC25" si="29">IFERROR(IF(BQ21="--","n/a ",BQ21),"n/a ")</f>
        <v/>
      </c>
      <c r="AC21" s="33" t="str">
        <f t="shared" si="29"/>
        <v/>
      </c>
      <c r="AD21" s="33" t="str">
        <f t="shared" si="24"/>
        <v/>
      </c>
      <c r="AE21" s="33" t="str">
        <f t="shared" si="25"/>
        <v/>
      </c>
      <c r="AF21" s="33" t="str">
        <f t="shared" ref="AF21:AG25" si="30">IFERROR((AS21/AN21),"n/a ")</f>
        <v xml:space="preserve">n/a </v>
      </c>
      <c r="AG21" s="33" t="str">
        <f t="shared" si="30"/>
        <v xml:space="preserve">n/a </v>
      </c>
      <c r="AH21" s="33" t="str">
        <f t="shared" si="26"/>
        <v xml:space="preserve">n/a </v>
      </c>
      <c r="AI21" s="33" t="str">
        <f t="shared" si="27"/>
        <v xml:space="preserve">n/a </v>
      </c>
      <c r="AJ21" s="83" t="str">
        <f t="shared" ref="AJ21:AJ25" si="31">IFERROR((BJ21/AT21),"n/a ")</f>
        <v xml:space="preserve">n/a </v>
      </c>
      <c r="AK21" s="83" t="str">
        <f t="shared" ref="AK21:AK25" si="32">IFERROR((BJ21/AU21),"n/a ")</f>
        <v xml:space="preserve">n/a </v>
      </c>
      <c r="AL21" s="72"/>
      <c r="AN21" s="20" t="str" cm="1">
        <f t="array" ref="AN21">IF($B21="","",_xll.SNL.Clients.Office.Excel.Functions.SPG($B21,"IQ_REV",AN$7,$F$2,"Options:Curr="&amp;$F$3&amp;", Mag=Millions, NA=--"))</f>
        <v/>
      </c>
      <c r="AO21" s="20" t="str" cm="1">
        <f t="array" ref="AO21">IF($B21="","",_xll.SNL.Clients.Office.Excel.Functions.SPG($B21,"SP_REV_EST",AO$7,$F$2,"Options:Curr="&amp;$F$3&amp;", Mag=Millions, NA=--"))</f>
        <v/>
      </c>
      <c r="AP21" s="20" t="str" cm="1">
        <f t="array" ref="AP21">IF($B21="","",_xll.SNL.Clients.Office.Excel.Functions.SPG($B21,"SP_REV_EST",AP$7,$F$2,"Options:Curr="&amp;$F$3&amp;", Mag=Millions, NA=--"))</f>
        <v/>
      </c>
      <c r="AQ21" s="20" t="str" cm="1">
        <f t="array" ref="AQ21">IF($B21="","",_xll.SNL.Clients.Office.Excel.Functions.SPG($B21,"SP_REV_EST",AQ$7,$F$2,"Options:Curr="&amp;$F$3&amp;", Mag=Millions, NA=--"))</f>
        <v/>
      </c>
      <c r="AS21" s="20" t="str" cm="1">
        <f t="array" ref="AS21">IF($B21="","",_xll.SNL.Clients.Office.Excel.Functions.SPG($B21,"SP_EBITDA",AS$7,$F$2,"Options:Curr="&amp;$F$3&amp;", Mag=Millions, NA=--"))</f>
        <v/>
      </c>
      <c r="AT21" s="20" t="str" cm="1">
        <f t="array" ref="AT21">IF($B21="","",_xll.SNL.Clients.Office.Excel.Functions.SPG($B21,"SP_EBITDA_EST",AT$7,$F$2,"Options:Curr="&amp;$F$3&amp;", Mag=Millions, NA=--"))</f>
        <v/>
      </c>
      <c r="AU21" s="20" t="str" cm="1">
        <f t="array" ref="AU21">IF($B21="","",_xll.SNL.Clients.Office.Excel.Functions.SPG($B21,"SP_EBITDA_EST",AU$7,$F$2,"Options:Curr="&amp;$F$3&amp;", Mag=Millions, NA=--"))</f>
        <v/>
      </c>
      <c r="AV21" s="20" t="str" cm="1">
        <f t="array" ref="AV21">IF($B21="","",_xll.SNL.Clients.Office.Excel.Functions.SPG($B21,"SP_EBITDA_EST",AV$7,$F$2,"Options:Curr="&amp;$F$3&amp;", Mag=Millions, NA=--"))</f>
        <v/>
      </c>
      <c r="AX21" s="13" t="str" cm="1">
        <f t="array" ref="AX21">IF($B21="","",_xll.SNL.Clients.Office.Excel.Functions.SPG($B21,"SP_EPS_EST",AX$7,$F$2,"Options:Curr="&amp;$F$3&amp;", NA=--"))</f>
        <v/>
      </c>
      <c r="AY21" s="13" t="str" cm="1">
        <f t="array" ref="AY21">IF($B21="","",_xll.SNL.Clients.Office.Excel.Functions.SPG($B21,"SP_EPS_EST",AY$7,$F$2,"Options:Curr="&amp;$F$3&amp;", NA=--"))</f>
        <v/>
      </c>
      <c r="AZ21" s="13" t="str" cm="1">
        <f t="array" ref="AZ21">IF($B21="","",_xll.SNL.Clients.Office.Excel.Functions.SPG($B21,"SP_EPS_EST",AZ$7,$F$2,"Options:Curr="&amp;$F$3&amp;", NA=--"))</f>
        <v/>
      </c>
      <c r="BB21" s="13" t="str" cm="1">
        <f t="array" ref="BB21">IF($B21="","",_xll.SNL.Clients.Office.Excel.Functions.SPG($B21,"SP_CFPS_EST",BB$7,$F$2,"Options:Curr="&amp;$F$3&amp;", NA=--"))</f>
        <v/>
      </c>
      <c r="BC21" s="13" t="str" cm="1">
        <f t="array" ref="BC21">IF($B21="","",_xll.SNL.Clients.Office.Excel.Functions.SPG($B21,"SP_CFPS_EST",BC$7,$F$2,"Options:Curr="&amp;$F$3&amp;", NA=--"))</f>
        <v/>
      </c>
      <c r="BD21" s="13" t="str" cm="1">
        <f t="array" ref="BD21">IF($B21="","",_xll.SNL.Clients.Office.Excel.Functions.SPG($B21,"SP_CFPS_EST",BD$7,$F$2,"Options:Curr="&amp;$F$3&amp;", NA=--"))</f>
        <v/>
      </c>
      <c r="BF21" s="66" t="str" cm="1">
        <f t="array" ref="BF21">IF($B21="","",_xll.SNL.Clients.Office.Excel.Functions.SPG($B21,"SP_DIV_YIELD",WORKDAY($F$2+1,-1),"Options: NA=--"))</f>
        <v/>
      </c>
      <c r="BG21" s="19" t="str" cm="1">
        <f t="array" ref="BG21">IF($B21="","",_xll.SNL.Clients.Office.Excel.Functions.SPG($B21,"IQ_TOTAL_EQUITY","FQ0",$F$2,"Options:Curr="&amp;$F$3&amp;", Mag=Millions, NA=--"))</f>
        <v/>
      </c>
      <c r="BH21" s="19" t="str" cm="1">
        <f t="array" ref="BH21">IF($B21="","",_xll.SNL.Clients.Office.Excel.Functions.SPG($B21,"IQ_TOTAL_DEBT","FQ0",$F$2,"Options:Curr="&amp;$F$3&amp;", Mag=Millions, NA=--"))</f>
        <v/>
      </c>
      <c r="BI21" s="19" t="str" cm="1">
        <f t="array" ref="BI21">IF($B21="","",_xll.SNL.Clients.Office.Excel.Functions.SPG($B21,"IQ_CASH_ST_INVEST","FQ0",$F$2,"Options:Curr="&amp;$F$3&amp;", Mag=Millions, NA=--"))</f>
        <v/>
      </c>
      <c r="BJ21" s="37" t="e">
        <f t="shared" si="28"/>
        <v>#VALUE!</v>
      </c>
      <c r="BK21" s="19" t="str" cm="1">
        <f t="array" ref="BK21">IF($B21="","",_xll.SNL.Clients.Office.Excel.Functions.SPG($B21,"IQ_TOTAL_EQUITY","FQ0",$F$2,"Options:Curr="&amp;$F$3&amp;", Mag=Millions, NA=--"))</f>
        <v/>
      </c>
      <c r="BM21" s="20" t="str">
        <f>IFERROR($AO21*$BR21,"n/a")</f>
        <v>n/a</v>
      </c>
      <c r="BN21" s="20" t="str">
        <f>IFERROR($AP21*BS21,"n/a")</f>
        <v>n/a</v>
      </c>
      <c r="BO21" s="20" t="str">
        <f>IFERROR($AQ21*$BT21,"n/a")</f>
        <v>n/a</v>
      </c>
      <c r="BQ21" s="44" t="str">
        <f>IF($B21="","",IFERROR(_xll.SNL.Clients.Office.Excel.Functions.SPG($B21,"SP_GROSS_MARGIN",BQ$7,$F$2,"Options: NA=--")/100,"--"))</f>
        <v/>
      </c>
      <c r="BR21" s="44" t="str">
        <f>IF($B21="","",IFERROR(_xll.SNL.Clients.Office.Excel.Functions.SPG($B21,"SP_GROSS_MARGIN_EST",BR$7,$F$2,"Options: NA=--")/100,"--"))</f>
        <v/>
      </c>
      <c r="BS21" s="44" t="str">
        <f>IF($B21="","",IFERROR(_xll.SNL.Clients.Office.Excel.Functions.SPG($B21,"SP_GROSS_MARGIN_EST",BS$7,$F$2,"Options: NA=--")/100,"--"))</f>
        <v/>
      </c>
      <c r="BT21" s="44" t="str">
        <f>IF($B21="","",IFERROR(_xll.SNL.Clients.Office.Excel.Functions.SPG($B21,"SP_GROSS_MARGIN_EST",BT$7,$F$2,"Options: NA=--")/100,"--"))</f>
        <v/>
      </c>
      <c r="BU21" s="45"/>
      <c r="BV21" s="47" t="str" cm="1">
        <f t="array" ref="BV21">IF($B21="","",_xll.SNL.Clients.Office.Excel.Functions.SPG($B21,"SP_GROSS_MARGIN_NUM_EST",BV$7,$F$2,"Options: NA=--"))</f>
        <v/>
      </c>
      <c r="BW21" s="47" t="str" cm="1">
        <f t="array" ref="BW21">IF($B21="","",_xll.SNL.Clients.Office.Excel.Functions.SPG($B21,"SP_GROSS_MARGIN_NUM_EST",BW$7,$F$2,"Options: NA=--"))</f>
        <v/>
      </c>
      <c r="BX21" s="47" t="str" cm="1">
        <f t="array" ref="BX21">IF($B21="","",_xll.SNL.Clients.Office.Excel.Functions.SPG($B21,"SP_GROSS_MARGIN_NUM_EST",BX$7,$F$2,"Options: NA=--"))</f>
        <v/>
      </c>
      <c r="BZ21" s="62" t="str">
        <f>IFERROR(IF(CD21/AO21&lt;0,"nmf ",CD21/AO21),"n/a ")</f>
        <v xml:space="preserve">n/a </v>
      </c>
      <c r="CA21" s="62" t="str">
        <f>IFERROR(IF(CE21/AP21&lt;0,"nmf ",CE21/AP21),"n/a ")</f>
        <v xml:space="preserve">n/a </v>
      </c>
      <c r="CB21" s="62" t="str">
        <f>IFERROR(IF(CF21/AQ21&lt;0,"nmf ",CF21/AQ21),"n/a ")</f>
        <v xml:space="preserve">n/a </v>
      </c>
      <c r="CD21" s="20" t="str">
        <f>IFERROR(BR21*AO21,"--")</f>
        <v>--</v>
      </c>
      <c r="CE21" s="20" t="str">
        <f>IFERROR(BS21*AP21,"--")</f>
        <v>--</v>
      </c>
      <c r="CF21" s="20" t="str">
        <f>IFERROR(BT21*AQ21,"--")</f>
        <v>--</v>
      </c>
    </row>
    <row r="22" spans="2:84" s="10" customFormat="1" ht="16.350000000000001" customHeight="1" x14ac:dyDescent="0.25">
      <c r="B22" s="34"/>
      <c r="D22" s="10" t="str" cm="1">
        <f t="array" ref="D22">IF($B22="","",_xll.SNL.Clients.Office.Excel.Functions.SPG($B22, "SP_COMPANY_NAME"))</f>
        <v/>
      </c>
      <c r="G22" s="21" t="str" cm="1">
        <f t="array" ref="G22">IF($B22="","",_xll.SNL.Clients.Office.Excel.Functions.SPG($B22,"SP_LASTSALEPRICE",WORKDAY($F$2+1,-1),"Options:Curr="&amp;I22&amp;",NA=--"))</f>
        <v/>
      </c>
      <c r="H22" s="13" t="str" cm="1">
        <f t="array" ref="H22">IF($B22="","",_xll.SNL.Clients.Office.Excel.Functions.SPG($B22,"SP_PRICE_CLOSE",WORKDAY($F$2+1,-1),"Options:Curr="&amp;$F$3&amp;", NA=--"))</f>
        <v/>
      </c>
      <c r="I22" s="40" t="str" cm="1">
        <f t="array" ref="I22">IF($B22="","",_xll.SNL.Clients.Office.Excel.Functions.SPG($B22,"SP_TRADING_CURRENCY","Options: NA=--"))</f>
        <v/>
      </c>
      <c r="J22" s="15" t="str" cm="1">
        <f t="array" ref="J22">IF($B22="","",_xll.SNL.Clients.Office.Excel.Functions.SPG($B22,"SP_MARKETCAP",WORKDAY($F$2+1,-1),"Options:Curr="&amp;$F$3&amp;", Mag=Millions, NA=--"))</f>
        <v/>
      </c>
      <c r="K22" s="15" t="str" cm="1">
        <f t="array" ref="K22">IF($B22="","",_xll.SNL.Clients.Office.Excel.Functions.SPG($B22,"IQ_TEV",WORKDAY($F$2+1,-1),"Options:Curr="&amp;$F$3&amp;", Mag=Millions, NA=--"))</f>
        <v/>
      </c>
      <c r="L22" s="16" t="str">
        <f>IFERROR(IF(OR($K22/AN22&gt;L$4,$K22/AN22&lt;L$3),"nmf ",$K22/AN22),"n/a ")</f>
        <v xml:space="preserve">n/a </v>
      </c>
      <c r="M22" s="16" t="str">
        <f>IFERROR(IF(OR($K22/AO22&gt;M$4,$K22/AO22&lt;M$3),"nmf ",$K22/AO22),"n/a ")</f>
        <v xml:space="preserve">n/a </v>
      </c>
      <c r="N22" s="16" t="str">
        <f>IFERROR(IF(OR($K22/AP22&gt;N$4,$K22/AP22&lt;N$3),"nmf ",$K22/AP22),"n/a ")</f>
        <v xml:space="preserve">n/a </v>
      </c>
      <c r="O22" s="16" t="str">
        <f>IFERROR(IF(OR($K22/AQ22&gt;O$4,$K22/AQ22&lt;O$3),"nmf ",$K22/AQ22),"n/a ")</f>
        <v xml:space="preserve">n/a </v>
      </c>
      <c r="P22" s="16" t="str">
        <f>IFERROR(IF(OR($K22/AS22&gt;P$4,$K22/AS22&lt;P$3),"nmf ",$K22/AS22),"n/a ")</f>
        <v xml:space="preserve">n/a </v>
      </c>
      <c r="Q22" s="16" t="str">
        <f>IFERROR(IF(OR($K22/AT22&gt;Q$4,$K22/AT22&lt;Q$3),"nmf ",$K22/AT22),"n/a ")</f>
        <v xml:space="preserve">n/a </v>
      </c>
      <c r="R22" s="16" t="str">
        <f>IFERROR(IF(OR($K22/AU22&gt;R$4,$K22/AU22&lt;R$3),"nmf ",$K22/AU22),"n/a ")</f>
        <v xml:space="preserve">n/a </v>
      </c>
      <c r="S22" s="16" t="str">
        <f>IFERROR(IF(OR($K22/AV22&gt;S$4,$K22/AV22&lt;S$3),"nmf ",$K22/AV22),"n/a ")</f>
        <v xml:space="preserve">n/a </v>
      </c>
      <c r="T22" s="33" t="str">
        <f t="shared" si="23"/>
        <v xml:space="preserve">n/a </v>
      </c>
      <c r="U22" s="33" t="str">
        <f t="shared" si="23"/>
        <v xml:space="preserve">n/a </v>
      </c>
      <c r="V22" s="16" t="str">
        <f>IFERROR($H22/AX22,"n/a ")</f>
        <v xml:space="preserve">n/a </v>
      </c>
      <c r="W22" s="16" t="str">
        <f>IFERROR($H22/AY22,"n/a ")</f>
        <v xml:space="preserve">n/a </v>
      </c>
      <c r="X22" s="16" t="str">
        <f>IFERROR($H22/AZ22,"n/a ")</f>
        <v xml:space="preserve">n/a </v>
      </c>
      <c r="Y22" s="16" t="str">
        <f>IFERROR($H22/BB22,"n/a ")</f>
        <v xml:space="preserve">n/a </v>
      </c>
      <c r="Z22" s="16" t="str">
        <f>IFERROR($H22/BC22,"n/a ")</f>
        <v xml:space="preserve">n/a </v>
      </c>
      <c r="AA22" s="16" t="str">
        <f>IFERROR($H22/BD22,"n/a ")</f>
        <v xml:space="preserve">n/a </v>
      </c>
      <c r="AB22" s="33" t="str">
        <f t="shared" si="29"/>
        <v/>
      </c>
      <c r="AC22" s="33" t="str">
        <f t="shared" si="29"/>
        <v/>
      </c>
      <c r="AD22" s="33" t="str">
        <f t="shared" si="24"/>
        <v/>
      </c>
      <c r="AE22" s="33" t="str">
        <f t="shared" si="25"/>
        <v/>
      </c>
      <c r="AF22" s="33" t="str">
        <f t="shared" si="30"/>
        <v xml:space="preserve">n/a </v>
      </c>
      <c r="AG22" s="33" t="str">
        <f t="shared" si="30"/>
        <v xml:space="preserve">n/a </v>
      </c>
      <c r="AH22" s="33" t="str">
        <f t="shared" si="26"/>
        <v xml:space="preserve">n/a </v>
      </c>
      <c r="AI22" s="33" t="str">
        <f t="shared" si="27"/>
        <v xml:space="preserve">n/a </v>
      </c>
      <c r="AJ22" s="83" t="str">
        <f t="shared" si="31"/>
        <v xml:space="preserve">n/a </v>
      </c>
      <c r="AK22" s="83" t="str">
        <f t="shared" si="32"/>
        <v xml:space="preserve">n/a </v>
      </c>
      <c r="AL22" s="72"/>
      <c r="AN22" s="20" t="str" cm="1">
        <f t="array" ref="AN22">IF($B22="","",_xll.SNL.Clients.Office.Excel.Functions.SPG($B22,"IQ_REV",AN$7,$F$2,"Options:Curr="&amp;$F$3&amp;", Mag=Millions, NA=--"))</f>
        <v/>
      </c>
      <c r="AO22" s="20" t="str" cm="1">
        <f t="array" ref="AO22">IF($B22="","",_xll.SNL.Clients.Office.Excel.Functions.SPG($B22,"SP_REV_EST",AO$7,$F$2,"Options:Curr="&amp;$F$3&amp;", Mag=Millions, NA=--"))</f>
        <v/>
      </c>
      <c r="AP22" s="20" t="str" cm="1">
        <f t="array" ref="AP22">IF($B22="","",_xll.SNL.Clients.Office.Excel.Functions.SPG($B22,"SP_REV_EST",AP$7,$F$2,"Options:Curr="&amp;$F$3&amp;", Mag=Millions, NA=--"))</f>
        <v/>
      </c>
      <c r="AQ22" s="20" t="str" cm="1">
        <f t="array" ref="AQ22">IF($B22="","",_xll.SNL.Clients.Office.Excel.Functions.SPG($B22,"SP_REV_EST",AQ$7,$F$2,"Options:Curr="&amp;$F$3&amp;", Mag=Millions, NA=--"))</f>
        <v/>
      </c>
      <c r="AS22" s="20" t="str" cm="1">
        <f t="array" ref="AS22">IF($B22="","",_xll.SNL.Clients.Office.Excel.Functions.SPG($B22,"SP_EBITDA",AS$7,$F$2,"Options:Curr="&amp;$F$3&amp;", Mag=Millions, NA=--"))</f>
        <v/>
      </c>
      <c r="AT22" s="20" t="str" cm="1">
        <f t="array" ref="AT22">IF($B22="","",_xll.SNL.Clients.Office.Excel.Functions.SPG($B22,"SP_EBITDA_EST",AT$7,$F$2,"Options:Curr="&amp;$F$3&amp;", Mag=Millions, NA=--"))</f>
        <v/>
      </c>
      <c r="AU22" s="20" t="str" cm="1">
        <f t="array" ref="AU22">IF($B22="","",_xll.SNL.Clients.Office.Excel.Functions.SPG($B22,"SP_EBITDA_EST",AU$7,$F$2,"Options:Curr="&amp;$F$3&amp;", Mag=Millions, NA=--"))</f>
        <v/>
      </c>
      <c r="AV22" s="20" t="str" cm="1">
        <f t="array" ref="AV22">IF($B22="","",_xll.SNL.Clients.Office.Excel.Functions.SPG($B22,"SP_EBITDA_EST",AV$7,$F$2,"Options:Curr="&amp;$F$3&amp;", Mag=Millions, NA=--"))</f>
        <v/>
      </c>
      <c r="AX22" s="13" t="str" cm="1">
        <f t="array" ref="AX22">IF($B22="","",_xll.SNL.Clients.Office.Excel.Functions.SPG($B22,"SP_EPS_EST",AX$7,$F$2,"Options:Curr="&amp;$F$3&amp;", NA=--"))</f>
        <v/>
      </c>
      <c r="AY22" s="13" t="str" cm="1">
        <f t="array" ref="AY22">IF($B22="","",_xll.SNL.Clients.Office.Excel.Functions.SPG($B22,"SP_EPS_EST",AY$7,$F$2,"Options:Curr="&amp;$F$3&amp;", NA=--"))</f>
        <v/>
      </c>
      <c r="AZ22" s="13" t="str" cm="1">
        <f t="array" ref="AZ22">IF($B22="","",_xll.SNL.Clients.Office.Excel.Functions.SPG($B22,"SP_EPS_EST",AZ$7,$F$2,"Options:Curr="&amp;$F$3&amp;", NA=--"))</f>
        <v/>
      </c>
      <c r="BB22" s="13" t="str" cm="1">
        <f t="array" ref="BB22">IF($B22="","",_xll.SNL.Clients.Office.Excel.Functions.SPG($B22,"SP_CFPS_EST",BB$7,$F$2,"Options:Curr="&amp;$F$3&amp;", NA=--"))</f>
        <v/>
      </c>
      <c r="BC22" s="13" t="str" cm="1">
        <f t="array" ref="BC22">IF($B22="","",_xll.SNL.Clients.Office.Excel.Functions.SPG($B22,"SP_CFPS_EST",BC$7,$F$2,"Options:Curr="&amp;$F$3&amp;", NA=--"))</f>
        <v/>
      </c>
      <c r="BD22" s="13" t="str" cm="1">
        <f t="array" ref="BD22">IF($B22="","",_xll.SNL.Clients.Office.Excel.Functions.SPG($B22,"SP_CFPS_EST",BD$7,$F$2,"Options:Curr="&amp;$F$3&amp;", NA=--"))</f>
        <v/>
      </c>
      <c r="BF22" s="66" t="str" cm="1">
        <f t="array" ref="BF22">IF($B22="","",_xll.SNL.Clients.Office.Excel.Functions.SPG($B22,"SP_DIV_YIELD",WORKDAY($F$2+1,-1),"Options: NA=--"))</f>
        <v/>
      </c>
      <c r="BG22" s="19" t="str" cm="1">
        <f t="array" ref="BG22">IF($B22="","",_xll.SNL.Clients.Office.Excel.Functions.SPG($B22,"IQ_TOTAL_EQUITY","FQ0",$F$2,"Options:Curr="&amp;$F$3&amp;", Mag=Millions, NA=--"))</f>
        <v/>
      </c>
      <c r="BH22" s="19" t="str" cm="1">
        <f t="array" ref="BH22">IF($B22="","",_xll.SNL.Clients.Office.Excel.Functions.SPG($B22,"IQ_TOTAL_DEBT","FQ0",$F$2,"Options:Curr="&amp;$F$3&amp;", Mag=Millions, NA=--"))</f>
        <v/>
      </c>
      <c r="BI22" s="19" t="str" cm="1">
        <f t="array" ref="BI22">IF($B22="","",_xll.SNL.Clients.Office.Excel.Functions.SPG($B22,"IQ_CASH_ST_INVEST","FQ0",$F$2,"Options:Curr="&amp;$F$3&amp;", Mag=Millions, NA=--"))</f>
        <v/>
      </c>
      <c r="BJ22" s="37" t="e">
        <f t="shared" si="28"/>
        <v>#VALUE!</v>
      </c>
      <c r="BK22" s="19" t="str" cm="1">
        <f t="array" ref="BK22">IF($B22="","",_xll.SNL.Clients.Office.Excel.Functions.SPG($B22,"IQ_TOTAL_EQUITY","FQ0",$F$2,"Options:Curr="&amp;$F$3&amp;", Mag=Millions, NA=--"))</f>
        <v/>
      </c>
      <c r="BM22" s="20" t="str">
        <f>IFERROR($AO22*$BR22,"n/a")</f>
        <v>n/a</v>
      </c>
      <c r="BN22" s="20" t="str">
        <f>IFERROR($AP22*BS22,"n/a")</f>
        <v>n/a</v>
      </c>
      <c r="BO22" s="20" t="str">
        <f>IFERROR($AQ22*$BT22,"n/a")</f>
        <v>n/a</v>
      </c>
      <c r="BQ22" s="44" t="str">
        <f>IF($B22="","",IFERROR(_xll.SNL.Clients.Office.Excel.Functions.SPG($B22,"SP_GROSS_MARGIN",BQ$7,$F$2,"Options: NA=--")/100,"--"))</f>
        <v/>
      </c>
      <c r="BR22" s="44" t="str">
        <f>IF($B22="","",IFERROR(_xll.SNL.Clients.Office.Excel.Functions.SPG($B22,"SP_GROSS_MARGIN_EST",BR$7,$F$2,"Options: NA=--")/100,"--"))</f>
        <v/>
      </c>
      <c r="BS22" s="44" t="str">
        <f>IF($B22="","",IFERROR(_xll.SNL.Clients.Office.Excel.Functions.SPG($B22,"SP_GROSS_MARGIN_EST",BS$7,$F$2,"Options: NA=--")/100,"--"))</f>
        <v/>
      </c>
      <c r="BT22" s="44" t="str">
        <f>IF($B22="","",IFERROR(_xll.SNL.Clients.Office.Excel.Functions.SPG($B22,"SP_GROSS_MARGIN_EST",BT$7,$F$2,"Options: NA=--")/100,"--"))</f>
        <v/>
      </c>
      <c r="BU22" s="45"/>
      <c r="BV22" s="47" t="str" cm="1">
        <f t="array" ref="BV22">IF($B22="","",_xll.SNL.Clients.Office.Excel.Functions.SPG($B22,"SP_GROSS_MARGIN_NUM_EST",BV$7,$F$2,"Options: NA=--"))</f>
        <v/>
      </c>
      <c r="BW22" s="47" t="str" cm="1">
        <f t="array" ref="BW22">IF($B22="","",_xll.SNL.Clients.Office.Excel.Functions.SPG($B22,"SP_GROSS_MARGIN_NUM_EST",BW$7,$F$2,"Options: NA=--"))</f>
        <v/>
      </c>
      <c r="BX22" s="47" t="str" cm="1">
        <f t="array" ref="BX22">IF($B22="","",_xll.SNL.Clients.Office.Excel.Functions.SPG($B22,"SP_GROSS_MARGIN_NUM_EST",BX$7,$F$2,"Options: NA=--"))</f>
        <v/>
      </c>
      <c r="BZ22" s="62" t="str">
        <f>IFERROR(IF(CD22/AO22&lt;0,"nmf ",CD22/AO22),"n/a ")</f>
        <v xml:space="preserve">n/a </v>
      </c>
      <c r="CA22" s="62" t="str">
        <f>IFERROR(IF(CE22/AP22&lt;0,"nmf ",CE22/AP22),"n/a ")</f>
        <v xml:space="preserve">n/a </v>
      </c>
      <c r="CB22" s="62" t="str">
        <f>IFERROR(IF(CF22/AQ22&lt;0,"nmf ",CF22/AQ22),"n/a ")</f>
        <v xml:space="preserve">n/a </v>
      </c>
      <c r="CD22" s="20" t="str">
        <f>IFERROR(BR22*AO22,"--")</f>
        <v>--</v>
      </c>
      <c r="CE22" s="20" t="str">
        <f>IFERROR(BS22*AP22,"--")</f>
        <v>--</v>
      </c>
      <c r="CF22" s="20" t="str">
        <f>IFERROR(BT22*AQ22,"--")</f>
        <v>--</v>
      </c>
    </row>
    <row r="23" spans="2:84" s="10" customFormat="1" ht="16.350000000000001" customHeight="1" x14ac:dyDescent="0.25">
      <c r="B23" s="34"/>
      <c r="D23" s="10" t="str" cm="1">
        <f t="array" ref="D23">IF($B23="","",_xll.SNL.Clients.Office.Excel.Functions.SPG($B23, "SP_COMPANY_NAME"))</f>
        <v/>
      </c>
      <c r="G23" s="21" t="str" cm="1">
        <f t="array" ref="G23">IF($B23="","",_xll.SNL.Clients.Office.Excel.Functions.SPG($B23,"SP_LASTSALEPRICE",WORKDAY($F$2+1,-1),"Options:Curr="&amp;I23&amp;",NA=--"))</f>
        <v/>
      </c>
      <c r="H23" s="13" t="str" cm="1">
        <f t="array" ref="H23">IF($B23="","",_xll.SNL.Clients.Office.Excel.Functions.SPG($B23,"SP_PRICE_CLOSE",WORKDAY($F$2+1,-1),"Options:Curr="&amp;$F$3&amp;", NA=--"))</f>
        <v/>
      </c>
      <c r="I23" s="40" t="str" cm="1">
        <f t="array" ref="I23">IF($B23="","",_xll.SNL.Clients.Office.Excel.Functions.SPG($B23,"SP_TRADING_CURRENCY","Options: NA=--"))</f>
        <v/>
      </c>
      <c r="J23" s="15" t="str" cm="1">
        <f t="array" ref="J23">IF($B23="","",_xll.SNL.Clients.Office.Excel.Functions.SPG($B23,"SP_MARKETCAP",WORKDAY($F$2+1,-1),"Options:Curr="&amp;$F$3&amp;", Mag=Millions, NA=--"))</f>
        <v/>
      </c>
      <c r="K23" s="15" t="str" cm="1">
        <f t="array" ref="K23">IF($B23="","",_xll.SNL.Clients.Office.Excel.Functions.SPG($B23,"IQ_TEV",WORKDAY($F$2+1,-1),"Options:Curr="&amp;$F$3&amp;", Mag=Millions, NA=--"))</f>
        <v/>
      </c>
      <c r="L23" s="16" t="str">
        <f>IFERROR(IF(OR($K23/AN23&gt;L$4,$K23/AN23&lt;L$3),"nmf ",$K23/AN23),"n/a ")</f>
        <v xml:space="preserve">n/a </v>
      </c>
      <c r="M23" s="16" t="str">
        <f>IFERROR(IF(OR($K23/AO23&gt;M$4,$K23/AO23&lt;M$3),"nmf ",$K23/AO23),"n/a ")</f>
        <v xml:space="preserve">n/a </v>
      </c>
      <c r="N23" s="16" t="str">
        <f>IFERROR(IF(OR($K23/AP23&gt;N$4,$K23/AP23&lt;N$3),"nmf ",$K23/AP23),"n/a ")</f>
        <v xml:space="preserve">n/a </v>
      </c>
      <c r="O23" s="16" t="str">
        <f>IFERROR(IF(OR($K23/AQ23&gt;O$4,$K23/AQ23&lt;O$3),"nmf ",$K23/AQ23),"n/a ")</f>
        <v xml:space="preserve">n/a </v>
      </c>
      <c r="P23" s="16" t="str">
        <f>IFERROR(IF(OR($K23/AS23&gt;P$4,$K23/AS23&lt;P$3),"nmf ",$K23/AS23),"n/a ")</f>
        <v xml:space="preserve">n/a </v>
      </c>
      <c r="Q23" s="16" t="str">
        <f>IFERROR(IF(OR($K23/AT23&gt;Q$4,$K23/AT23&lt;Q$3),"nmf ",$K23/AT23),"n/a ")</f>
        <v xml:space="preserve">n/a </v>
      </c>
      <c r="R23" s="16" t="str">
        <f>IFERROR(IF(OR($K23/AU23&gt;R$4,$K23/AU23&lt;R$3),"nmf ",$K23/AU23),"n/a ")</f>
        <v xml:space="preserve">n/a </v>
      </c>
      <c r="S23" s="16" t="str">
        <f>IFERROR(IF(OR($K23/AV23&gt;S$4,$K23/AV23&lt;S$3),"nmf ",$K23/AV23),"n/a ")</f>
        <v xml:space="preserve">n/a </v>
      </c>
      <c r="T23" s="33" t="str">
        <f t="shared" ref="T23:T24" si="33">IFERROR((AP23/AO23)-1,"n/a ")</f>
        <v xml:space="preserve">n/a </v>
      </c>
      <c r="U23" s="33" t="str">
        <f t="shared" ref="U23:U24" si="34">IFERROR((AQ23/AP23)-1,"n/a ")</f>
        <v xml:space="preserve">n/a </v>
      </c>
      <c r="V23" s="16" t="str">
        <f>IFERROR($H23/AX23,"n/a ")</f>
        <v xml:space="preserve">n/a </v>
      </c>
      <c r="W23" s="16" t="str">
        <f>IFERROR($H23/AY23,"n/a ")</f>
        <v xml:space="preserve">n/a </v>
      </c>
      <c r="X23" s="16" t="str">
        <f>IFERROR($H23/AZ23,"n/a ")</f>
        <v xml:space="preserve">n/a </v>
      </c>
      <c r="Y23" s="16" t="str">
        <f>IFERROR($H23/BB23,"n/a ")</f>
        <v xml:space="preserve">n/a </v>
      </c>
      <c r="Z23" s="16" t="str">
        <f>IFERROR($H23/BC23,"n/a ")</f>
        <v xml:space="preserve">n/a </v>
      </c>
      <c r="AA23" s="16" t="str">
        <f>IFERROR($H23/BD23,"n/a ")</f>
        <v xml:space="preserve">n/a </v>
      </c>
      <c r="AB23" s="33" t="str">
        <f t="shared" si="29"/>
        <v/>
      </c>
      <c r="AC23" s="33" t="str">
        <f t="shared" si="29"/>
        <v/>
      </c>
      <c r="AD23" s="33" t="str">
        <f t="shared" si="24"/>
        <v/>
      </c>
      <c r="AE23" s="33" t="str">
        <f t="shared" si="25"/>
        <v/>
      </c>
      <c r="AF23" s="33" t="str">
        <f t="shared" si="30"/>
        <v xml:space="preserve">n/a </v>
      </c>
      <c r="AG23" s="33" t="str">
        <f t="shared" si="30"/>
        <v xml:space="preserve">n/a </v>
      </c>
      <c r="AH23" s="33" t="str">
        <f t="shared" si="26"/>
        <v xml:space="preserve">n/a </v>
      </c>
      <c r="AI23" s="33" t="str">
        <f t="shared" si="27"/>
        <v xml:space="preserve">n/a </v>
      </c>
      <c r="AJ23" s="83" t="str">
        <f t="shared" si="31"/>
        <v xml:space="preserve">n/a </v>
      </c>
      <c r="AK23" s="83" t="str">
        <f t="shared" si="32"/>
        <v xml:space="preserve">n/a </v>
      </c>
      <c r="AL23" s="72"/>
      <c r="AN23" s="20" t="str" cm="1">
        <f t="array" ref="AN23">IF($B23="","",_xll.SNL.Clients.Office.Excel.Functions.SPG($B23,"IQ_REV",AN$7,$F$2,"Options:Curr="&amp;$F$3&amp;", Mag=Millions, NA=--"))</f>
        <v/>
      </c>
      <c r="AO23" s="20" t="str" cm="1">
        <f t="array" ref="AO23">IF($B23="","",_xll.SNL.Clients.Office.Excel.Functions.SPG($B23,"SP_REV_EST",AO$7,$F$2,"Options:Curr="&amp;$F$3&amp;", Mag=Millions, NA=--"))</f>
        <v/>
      </c>
      <c r="AP23" s="20" t="str" cm="1">
        <f t="array" ref="AP23">IF($B23="","",_xll.SNL.Clients.Office.Excel.Functions.SPG($B23,"SP_REV_EST",AP$7,$F$2,"Options:Curr="&amp;$F$3&amp;", Mag=Millions, NA=--"))</f>
        <v/>
      </c>
      <c r="AQ23" s="20" t="str" cm="1">
        <f t="array" ref="AQ23">IF($B23="","",_xll.SNL.Clients.Office.Excel.Functions.SPG($B23,"SP_REV_EST",AQ$7,$F$2,"Options:Curr="&amp;$F$3&amp;", Mag=Millions, NA=--"))</f>
        <v/>
      </c>
      <c r="AS23" s="20" t="str" cm="1">
        <f t="array" ref="AS23">IF($B23="","",_xll.SNL.Clients.Office.Excel.Functions.SPG($B23,"SP_EBITDA",AS$7,$F$2,"Options:Curr="&amp;$F$3&amp;", Mag=Millions, NA=--"))</f>
        <v/>
      </c>
      <c r="AT23" s="20" t="str" cm="1">
        <f t="array" ref="AT23">IF($B23="","",_xll.SNL.Clients.Office.Excel.Functions.SPG($B23,"SP_EBITDA_EST",AT$7,$F$2,"Options:Curr="&amp;$F$3&amp;", Mag=Millions, NA=--"))</f>
        <v/>
      </c>
      <c r="AU23" s="20" t="str" cm="1">
        <f t="array" ref="AU23">IF($B23="","",_xll.SNL.Clients.Office.Excel.Functions.SPG($B23,"SP_EBITDA_EST",AU$7,$F$2,"Options:Curr="&amp;$F$3&amp;", Mag=Millions, NA=--"))</f>
        <v/>
      </c>
      <c r="AV23" s="20" t="str" cm="1">
        <f t="array" ref="AV23">IF($B23="","",_xll.SNL.Clients.Office.Excel.Functions.SPG($B23,"SP_EBITDA_EST",AV$7,$F$2,"Options:Curr="&amp;$F$3&amp;", Mag=Millions, NA=--"))</f>
        <v/>
      </c>
      <c r="AX23" s="13" t="str" cm="1">
        <f t="array" ref="AX23">IF($B23="","",_xll.SNL.Clients.Office.Excel.Functions.SPG($B23,"SP_EPS_EST",AX$7,$F$2,"Options:Curr="&amp;$F$3&amp;", NA=--"))</f>
        <v/>
      </c>
      <c r="AY23" s="13" t="str" cm="1">
        <f t="array" ref="AY23">IF($B23="","",_xll.SNL.Clients.Office.Excel.Functions.SPG($B23,"SP_EPS_EST",AY$7,$F$2,"Options:Curr="&amp;$F$3&amp;", NA=--"))</f>
        <v/>
      </c>
      <c r="AZ23" s="13" t="str" cm="1">
        <f t="array" ref="AZ23">IF($B23="","",_xll.SNL.Clients.Office.Excel.Functions.SPG($B23,"SP_EPS_EST",AZ$7,$F$2,"Options:Curr="&amp;$F$3&amp;", NA=--"))</f>
        <v/>
      </c>
      <c r="BB23" s="13" t="str" cm="1">
        <f t="array" ref="BB23">IF($B23="","",_xll.SNL.Clients.Office.Excel.Functions.SPG($B23,"SP_CFPS_EST",BB$7,$F$2,"Options:Curr="&amp;$F$3&amp;", NA=--"))</f>
        <v/>
      </c>
      <c r="BC23" s="13" t="str" cm="1">
        <f t="array" ref="BC23">IF($B23="","",_xll.SNL.Clients.Office.Excel.Functions.SPG($B23,"SP_CFPS_EST",BC$7,$F$2,"Options:Curr="&amp;$F$3&amp;", NA=--"))</f>
        <v/>
      </c>
      <c r="BD23" s="13" t="str" cm="1">
        <f t="array" ref="BD23">IF($B23="","",_xll.SNL.Clients.Office.Excel.Functions.SPG($B23,"SP_CFPS_EST",BD$7,$F$2,"Options:Curr="&amp;$F$3&amp;", NA=--"))</f>
        <v/>
      </c>
      <c r="BF23" s="66" t="str" cm="1">
        <f t="array" ref="BF23">IF($B23="","",_xll.SNL.Clients.Office.Excel.Functions.SPG($B23,"SP_DIV_YIELD",WORKDAY($F$2+1,-1),"Options: NA=--"))</f>
        <v/>
      </c>
      <c r="BG23" s="19" t="str" cm="1">
        <f t="array" ref="BG23">IF($B23="","",_xll.SNL.Clients.Office.Excel.Functions.SPG($B23,"IQ_TOTAL_EQUITY","FQ0",$F$2,"Options:Curr="&amp;$F$3&amp;", Mag=Millions, NA=--"))</f>
        <v/>
      </c>
      <c r="BH23" s="19" t="str" cm="1">
        <f t="array" ref="BH23">IF($B23="","",_xll.SNL.Clients.Office.Excel.Functions.SPG($B23,"IQ_TOTAL_DEBT","FQ0",$F$2,"Options:Curr="&amp;$F$3&amp;", Mag=Millions, NA=--"))</f>
        <v/>
      </c>
      <c r="BI23" s="19" t="str" cm="1">
        <f t="array" ref="BI23">IF($B23="","",_xll.SNL.Clients.Office.Excel.Functions.SPG($B23,"IQ_CASH_ST_INVEST","FQ0",$F$2,"Options:Curr="&amp;$F$3&amp;", Mag=Millions, NA=--"))</f>
        <v/>
      </c>
      <c r="BJ23" s="37" t="e">
        <f t="shared" ref="BJ23:BJ24" si="35">+BH23-BI23</f>
        <v>#VALUE!</v>
      </c>
      <c r="BK23" s="19" t="str" cm="1">
        <f t="array" ref="BK23">IF($B23="","",_xll.SNL.Clients.Office.Excel.Functions.SPG($B23,"IQ_TOTAL_EQUITY","FQ0",$F$2,"Options:Curr="&amp;$F$3&amp;", Mag=Millions, NA=--"))</f>
        <v/>
      </c>
      <c r="BM23" s="20" t="str">
        <f t="shared" ref="BM23:BM24" si="36">IFERROR($AO23*$BR23,"n/a")</f>
        <v>n/a</v>
      </c>
      <c r="BN23" s="20" t="str">
        <f>IFERROR($AP23*BS23,"n/a")</f>
        <v>n/a</v>
      </c>
      <c r="BO23" s="20" t="str">
        <f>IFERROR($AQ23*$BT23,"n/a")</f>
        <v>n/a</v>
      </c>
      <c r="BQ23" s="44" t="str">
        <f>IF($B23="","",IFERROR(_xll.SNL.Clients.Office.Excel.Functions.SPG($B23,"SP_GROSS_MARGIN",BQ$7,$F$2,"Options: NA=--")/100,"--"))</f>
        <v/>
      </c>
      <c r="BR23" s="44" t="str">
        <f>IF($B23="","",IFERROR(_xll.SNL.Clients.Office.Excel.Functions.SPG($B23,"SP_GROSS_MARGIN_EST",BR$7,$F$2,"Options: NA=--")/100,"--"))</f>
        <v/>
      </c>
      <c r="BS23" s="44" t="str">
        <f>IF($B23="","",IFERROR(_xll.SNL.Clients.Office.Excel.Functions.SPG($B23,"SP_GROSS_MARGIN_EST",BS$7,$F$2,"Options: NA=--")/100,"--"))</f>
        <v/>
      </c>
      <c r="BT23" s="44" t="str">
        <f>IF($B23="","",IFERROR(_xll.SNL.Clients.Office.Excel.Functions.SPG($B23,"SP_GROSS_MARGIN_EST",BT$7,$F$2,"Options: NA=--")/100,"--"))</f>
        <v/>
      </c>
      <c r="BU23" s="45"/>
      <c r="BV23" s="47" t="str" cm="1">
        <f t="array" ref="BV23">IF($B23="","",_xll.SNL.Clients.Office.Excel.Functions.SPG($B23,"SP_GROSS_MARGIN_NUM_EST",BV$7,$F$2,"Options: NA=--"))</f>
        <v/>
      </c>
      <c r="BW23" s="47" t="str" cm="1">
        <f t="array" ref="BW23">IF($B23="","",_xll.SNL.Clients.Office.Excel.Functions.SPG($B23,"SP_GROSS_MARGIN_NUM_EST",BW$7,$F$2,"Options: NA=--"))</f>
        <v/>
      </c>
      <c r="BX23" s="47" t="str" cm="1">
        <f t="array" ref="BX23">IF($B23="","",_xll.SNL.Clients.Office.Excel.Functions.SPG($B23,"SP_GROSS_MARGIN_NUM_EST",BX$7,$F$2,"Options: NA=--"))</f>
        <v/>
      </c>
      <c r="BZ23" s="62" t="str">
        <f>IFERROR(IF(CD23/AO23&lt;0,"nmf ",CD23/AO23),"n/a ")</f>
        <v xml:space="preserve">n/a </v>
      </c>
      <c r="CA23" s="62" t="str">
        <f>IFERROR(IF(CE23/AP23&lt;0,"nmf ",CE23/AP23),"n/a ")</f>
        <v xml:space="preserve">n/a </v>
      </c>
      <c r="CB23" s="62" t="str">
        <f>IFERROR(IF(CF23/AQ23&lt;0,"nmf ",CF23/AQ23),"n/a ")</f>
        <v xml:space="preserve">n/a </v>
      </c>
      <c r="CD23" s="20" t="str">
        <f>IFERROR(BR23*AO23,"--")</f>
        <v>--</v>
      </c>
      <c r="CE23" s="20" t="str">
        <f>IFERROR(BS23*AP23,"--")</f>
        <v>--</v>
      </c>
      <c r="CF23" s="20" t="str">
        <f>IFERROR(BT23*AQ23,"--")</f>
        <v>--</v>
      </c>
    </row>
    <row r="24" spans="2:84" s="10" customFormat="1" ht="16.350000000000001" customHeight="1" x14ac:dyDescent="0.25">
      <c r="B24" s="34"/>
      <c r="D24" s="10" t="str" cm="1">
        <f t="array" ref="D24">IF($B24="","",_xll.SNL.Clients.Office.Excel.Functions.SPG($B24, "SP_COMPANY_NAME"))</f>
        <v/>
      </c>
      <c r="G24" s="21" t="str" cm="1">
        <f t="array" ref="G24">IF($B24="","",_xll.SNL.Clients.Office.Excel.Functions.SPG($B24,"SP_LASTSALEPRICE",WORKDAY($F$2+1,-1),"Options:Curr="&amp;I24&amp;",NA=--"))</f>
        <v/>
      </c>
      <c r="H24" s="13" t="str" cm="1">
        <f t="array" ref="H24">IF($B24="","",_xll.SNL.Clients.Office.Excel.Functions.SPG($B24,"SP_PRICE_CLOSE",WORKDAY($F$2+1,-1),"Options:Curr="&amp;$F$3&amp;", NA=--"))</f>
        <v/>
      </c>
      <c r="I24" s="40" t="str" cm="1">
        <f t="array" ref="I24">IF($B24="","",_xll.SNL.Clients.Office.Excel.Functions.SPG($B24,"SP_TRADING_CURRENCY","Options: NA=--"))</f>
        <v/>
      </c>
      <c r="J24" s="15" t="str" cm="1">
        <f t="array" ref="J24">IF($B24="","",_xll.SNL.Clients.Office.Excel.Functions.SPG($B24,"SP_MARKETCAP",WORKDAY($F$2+1,-1),"Options:Curr="&amp;$F$3&amp;", Mag=Millions, NA=--"))</f>
        <v/>
      </c>
      <c r="K24" s="15" t="str" cm="1">
        <f t="array" ref="K24">IF($B24="","",_xll.SNL.Clients.Office.Excel.Functions.SPG($B24,"IQ_TEV",WORKDAY($F$2+1,-1),"Options:Curr="&amp;$F$3&amp;", Mag=Millions, NA=--"))</f>
        <v/>
      </c>
      <c r="L24" s="16" t="str">
        <f>IFERROR(IF(OR($K24/AN24&gt;L$4,$K24/AN24&lt;L$3),"nmf ",$K24/AN24),"n/a ")</f>
        <v xml:space="preserve">n/a </v>
      </c>
      <c r="M24" s="16" t="str">
        <f>IFERROR(IF(OR($K24/AO24&gt;M$4,$K24/AO24&lt;M$3),"nmf ",$K24/AO24),"n/a ")</f>
        <v xml:space="preserve">n/a </v>
      </c>
      <c r="N24" s="16" t="str">
        <f>IFERROR(IF(OR($K24/AP24&gt;N$4,$K24/AP24&lt;N$3),"nmf ",$K24/AP24),"n/a ")</f>
        <v xml:space="preserve">n/a </v>
      </c>
      <c r="O24" s="16" t="str">
        <f>IFERROR(IF(OR($K24/AQ24&gt;O$4,$K24/AQ24&lt;O$3),"nmf ",$K24/AQ24),"n/a ")</f>
        <v xml:space="preserve">n/a </v>
      </c>
      <c r="P24" s="16" t="str">
        <f>IFERROR(IF(OR($K24/AS24&gt;P$4,$K24/AS24&lt;P$3),"nmf ",$K24/AS24),"n/a ")</f>
        <v xml:space="preserve">n/a </v>
      </c>
      <c r="Q24" s="16" t="str">
        <f>IFERROR(IF(OR($K24/AT24&gt;Q$4,$K24/AT24&lt;Q$3),"nmf ",$K24/AT24),"n/a ")</f>
        <v xml:space="preserve">n/a </v>
      </c>
      <c r="R24" s="16" t="str">
        <f>IFERROR(IF(OR($K24/AU24&gt;R$4,$K24/AU24&lt;R$3),"nmf ",$K24/AU24),"n/a ")</f>
        <v xml:space="preserve">n/a </v>
      </c>
      <c r="S24" s="16" t="str">
        <f>IFERROR(IF(OR($K24/AV24&gt;S$4,$K24/AV24&lt;S$3),"nmf ",$K24/AV24),"n/a ")</f>
        <v xml:space="preserve">n/a </v>
      </c>
      <c r="T24" s="33" t="str">
        <f t="shared" si="33"/>
        <v xml:space="preserve">n/a </v>
      </c>
      <c r="U24" s="33" t="str">
        <f t="shared" si="34"/>
        <v xml:space="preserve">n/a </v>
      </c>
      <c r="V24" s="16" t="str">
        <f>IFERROR($H24/AX24,"n/a ")</f>
        <v xml:space="preserve">n/a </v>
      </c>
      <c r="W24" s="16" t="str">
        <f>IFERROR($H24/AY24,"n/a ")</f>
        <v xml:space="preserve">n/a </v>
      </c>
      <c r="X24" s="16" t="str">
        <f>IFERROR($H24/AZ24,"n/a ")</f>
        <v xml:space="preserve">n/a </v>
      </c>
      <c r="Y24" s="16" t="str">
        <f>IFERROR($H24/BB24,"n/a ")</f>
        <v xml:space="preserve">n/a </v>
      </c>
      <c r="Z24" s="16" t="str">
        <f>IFERROR($H24/BC24,"n/a ")</f>
        <v xml:space="preserve">n/a </v>
      </c>
      <c r="AA24" s="16" t="str">
        <f>IFERROR($H24/BD24,"n/a ")</f>
        <v xml:space="preserve">n/a </v>
      </c>
      <c r="AB24" s="33" t="str">
        <f t="shared" si="29"/>
        <v/>
      </c>
      <c r="AC24" s="33" t="str">
        <f t="shared" si="29"/>
        <v/>
      </c>
      <c r="AD24" s="33" t="str">
        <f t="shared" si="24"/>
        <v/>
      </c>
      <c r="AE24" s="33" t="str">
        <f t="shared" si="25"/>
        <v/>
      </c>
      <c r="AF24" s="33" t="str">
        <f t="shared" si="30"/>
        <v xml:space="preserve">n/a </v>
      </c>
      <c r="AG24" s="33" t="str">
        <f t="shared" si="30"/>
        <v xml:space="preserve">n/a </v>
      </c>
      <c r="AH24" s="33" t="str">
        <f t="shared" si="26"/>
        <v xml:space="preserve">n/a </v>
      </c>
      <c r="AI24" s="33" t="str">
        <f t="shared" si="27"/>
        <v xml:space="preserve">n/a </v>
      </c>
      <c r="AJ24" s="83" t="str">
        <f t="shared" si="31"/>
        <v xml:space="preserve">n/a </v>
      </c>
      <c r="AK24" s="83" t="str">
        <f t="shared" si="32"/>
        <v xml:space="preserve">n/a </v>
      </c>
      <c r="AL24" s="72"/>
      <c r="AN24" s="20" t="str" cm="1">
        <f t="array" ref="AN24">IF($B24="","",_xll.SNL.Clients.Office.Excel.Functions.SPG($B24,"IQ_REV",AN$7,$F$2,"Options:Curr="&amp;$F$3&amp;", Mag=Millions, NA=--"))</f>
        <v/>
      </c>
      <c r="AO24" s="20" t="str" cm="1">
        <f t="array" ref="AO24">IF($B24="","",_xll.SNL.Clients.Office.Excel.Functions.SPG($B24,"SP_REV_EST",AO$7,$F$2,"Options:Curr="&amp;$F$3&amp;", Mag=Millions, NA=--"))</f>
        <v/>
      </c>
      <c r="AP24" s="20" t="str" cm="1">
        <f t="array" ref="AP24">IF($B24="","",_xll.SNL.Clients.Office.Excel.Functions.SPG($B24,"SP_REV_EST",AP$7,$F$2,"Options:Curr="&amp;$F$3&amp;", Mag=Millions, NA=--"))</f>
        <v/>
      </c>
      <c r="AQ24" s="20" t="str" cm="1">
        <f t="array" ref="AQ24">IF($B24="","",_xll.SNL.Clients.Office.Excel.Functions.SPG($B24,"SP_REV_EST",AQ$7,$F$2,"Options:Curr="&amp;$F$3&amp;", Mag=Millions, NA=--"))</f>
        <v/>
      </c>
      <c r="AS24" s="20" t="str" cm="1">
        <f t="array" ref="AS24">IF($B24="","",_xll.SNL.Clients.Office.Excel.Functions.SPG($B24,"SP_EBITDA",AS$7,$F$2,"Options:Curr="&amp;$F$3&amp;", Mag=Millions, NA=--"))</f>
        <v/>
      </c>
      <c r="AT24" s="20" t="str" cm="1">
        <f t="array" ref="AT24">IF($B24="","",_xll.SNL.Clients.Office.Excel.Functions.SPG($B24,"SP_EBITDA_EST",AT$7,$F$2,"Options:Curr="&amp;$F$3&amp;", Mag=Millions, NA=--"))</f>
        <v/>
      </c>
      <c r="AU24" s="20" t="str" cm="1">
        <f t="array" ref="AU24">IF($B24="","",_xll.SNL.Clients.Office.Excel.Functions.SPG($B24,"SP_EBITDA_EST",AU$7,$F$2,"Options:Curr="&amp;$F$3&amp;", Mag=Millions, NA=--"))</f>
        <v/>
      </c>
      <c r="AV24" s="20" t="str" cm="1">
        <f t="array" ref="AV24">IF($B24="","",_xll.SNL.Clients.Office.Excel.Functions.SPG($B24,"SP_EBITDA_EST",AV$7,$F$2,"Options:Curr="&amp;$F$3&amp;", Mag=Millions, NA=--"))</f>
        <v/>
      </c>
      <c r="AX24" s="13" t="str" cm="1">
        <f t="array" ref="AX24">IF($B24="","",_xll.SNL.Clients.Office.Excel.Functions.SPG($B24,"SP_EPS_EST",AX$7,$F$2,"Options:Curr="&amp;$F$3&amp;", NA=--"))</f>
        <v/>
      </c>
      <c r="AY24" s="13" t="str" cm="1">
        <f t="array" ref="AY24">IF($B24="","",_xll.SNL.Clients.Office.Excel.Functions.SPG($B24,"SP_EPS_EST",AY$7,$F$2,"Options:Curr="&amp;$F$3&amp;", NA=--"))</f>
        <v/>
      </c>
      <c r="AZ24" s="13" t="str" cm="1">
        <f t="array" ref="AZ24">IF($B24="","",_xll.SNL.Clients.Office.Excel.Functions.SPG($B24,"SP_EPS_EST",AZ$7,$F$2,"Options:Curr="&amp;$F$3&amp;", NA=--"))</f>
        <v/>
      </c>
      <c r="BB24" s="13" t="str" cm="1">
        <f t="array" ref="BB24">IF($B24="","",_xll.SNL.Clients.Office.Excel.Functions.SPG($B24,"SP_CFPS_EST",BB$7,$F$2,"Options:Curr="&amp;$F$3&amp;", NA=--"))</f>
        <v/>
      </c>
      <c r="BC24" s="13" t="str" cm="1">
        <f t="array" ref="BC24">IF($B24="","",_xll.SNL.Clients.Office.Excel.Functions.SPG($B24,"SP_CFPS_EST",BC$7,$F$2,"Options:Curr="&amp;$F$3&amp;", NA=--"))</f>
        <v/>
      </c>
      <c r="BD24" s="13" t="str" cm="1">
        <f t="array" ref="BD24">IF($B24="","",_xll.SNL.Clients.Office.Excel.Functions.SPG($B24,"SP_CFPS_EST",BD$7,$F$2,"Options:Curr="&amp;$F$3&amp;", NA=--"))</f>
        <v/>
      </c>
      <c r="BF24" s="66" t="str" cm="1">
        <f t="array" ref="BF24">IF($B24="","",_xll.SNL.Clients.Office.Excel.Functions.SPG($B24,"SP_DIV_YIELD",WORKDAY($F$2+1,-1),"Options: NA=--"))</f>
        <v/>
      </c>
      <c r="BG24" s="19" t="str" cm="1">
        <f t="array" ref="BG24">IF($B24="","",_xll.SNL.Clients.Office.Excel.Functions.SPG($B24,"IQ_TOTAL_EQUITY","FQ0",$F$2,"Options:Curr="&amp;$F$3&amp;", Mag=Millions, NA=--"))</f>
        <v/>
      </c>
      <c r="BH24" s="19" t="str" cm="1">
        <f t="array" ref="BH24">IF($B24="","",_xll.SNL.Clients.Office.Excel.Functions.SPG($B24,"IQ_TOTAL_DEBT","FQ0",$F$2,"Options:Curr="&amp;$F$3&amp;", Mag=Millions, NA=--"))</f>
        <v/>
      </c>
      <c r="BI24" s="19" t="str" cm="1">
        <f t="array" ref="BI24">IF($B24="","",_xll.SNL.Clients.Office.Excel.Functions.SPG($B24,"IQ_CASH_ST_INVEST","FQ0",$F$2,"Options:Curr="&amp;$F$3&amp;", Mag=Millions, NA=--"))</f>
        <v/>
      </c>
      <c r="BJ24" s="37" t="e">
        <f t="shared" si="35"/>
        <v>#VALUE!</v>
      </c>
      <c r="BK24" s="19" t="str" cm="1">
        <f t="array" ref="BK24">IF($B24="","",_xll.SNL.Clients.Office.Excel.Functions.SPG($B24,"IQ_TOTAL_EQUITY","FQ0",$F$2,"Options:Curr="&amp;$F$3&amp;", Mag=Millions, NA=--"))</f>
        <v/>
      </c>
      <c r="BM24" s="20" t="str">
        <f t="shared" si="36"/>
        <v>n/a</v>
      </c>
      <c r="BN24" s="20" t="str">
        <f>IFERROR($AP24*BS24,"n/a")</f>
        <v>n/a</v>
      </c>
      <c r="BO24" s="20" t="str">
        <f>IFERROR($AQ24*$BT24,"n/a")</f>
        <v>n/a</v>
      </c>
      <c r="BQ24" s="44" t="str">
        <f>IF($B24="","",IFERROR(_xll.SNL.Clients.Office.Excel.Functions.SPG($B24,"SP_GROSS_MARGIN",BQ$7,$F$2,"Options: NA=--")/100,"--"))</f>
        <v/>
      </c>
      <c r="BR24" s="44" t="str">
        <f>IF($B24="","",IFERROR(_xll.SNL.Clients.Office.Excel.Functions.SPG($B24,"SP_GROSS_MARGIN_EST",BR$7,$F$2,"Options: NA=--")/100,"--"))</f>
        <v/>
      </c>
      <c r="BS24" s="44" t="str">
        <f>IF($B24="","",IFERROR(_xll.SNL.Clients.Office.Excel.Functions.SPG($B24,"SP_GROSS_MARGIN_EST",BS$7,$F$2,"Options: NA=--")/100,"--"))</f>
        <v/>
      </c>
      <c r="BT24" s="44" t="str">
        <f>IF($B24="","",IFERROR(_xll.SNL.Clients.Office.Excel.Functions.SPG($B24,"SP_GROSS_MARGIN_EST",BT$7,$F$2,"Options: NA=--")/100,"--"))</f>
        <v/>
      </c>
      <c r="BU24" s="45"/>
      <c r="BV24" s="47" t="str" cm="1">
        <f t="array" ref="BV24">IF($B24="","",_xll.SNL.Clients.Office.Excel.Functions.SPG($B24,"SP_GROSS_MARGIN_NUM_EST",BV$7,$F$2,"Options: NA=--"))</f>
        <v/>
      </c>
      <c r="BW24" s="47" t="str" cm="1">
        <f t="array" ref="BW24">IF($B24="","",_xll.SNL.Clients.Office.Excel.Functions.SPG($B24,"SP_GROSS_MARGIN_NUM_EST",BW$7,$F$2,"Options: NA=--"))</f>
        <v/>
      </c>
      <c r="BX24" s="47" t="str" cm="1">
        <f t="array" ref="BX24">IF($B24="","",_xll.SNL.Clients.Office.Excel.Functions.SPG($B24,"SP_GROSS_MARGIN_NUM_EST",BX$7,$F$2,"Options: NA=--"))</f>
        <v/>
      </c>
      <c r="BZ24" s="62" t="str">
        <f>IFERROR(IF(CD24/AO24&lt;0,"nmf ",CD24/AO24),"n/a ")</f>
        <v xml:space="preserve">n/a </v>
      </c>
      <c r="CA24" s="62" t="str">
        <f>IFERROR(IF(CE24/AP24&lt;0,"nmf ",CE24/AP24),"n/a ")</f>
        <v xml:space="preserve">n/a </v>
      </c>
      <c r="CB24" s="62" t="str">
        <f>IFERROR(IF(CF24/AQ24&lt;0,"nmf ",CF24/AQ24),"n/a ")</f>
        <v xml:space="preserve">n/a </v>
      </c>
      <c r="CD24" s="20" t="str">
        <f>IFERROR(BR24*AO24,"--")</f>
        <v>--</v>
      </c>
      <c r="CE24" s="20" t="str">
        <f>IFERROR(BS24*AP24,"--")</f>
        <v>--</v>
      </c>
      <c r="CF24" s="20" t="str">
        <f>IFERROR(BT24*AQ24,"--")</f>
        <v>--</v>
      </c>
    </row>
    <row r="25" spans="2:84" s="10" customFormat="1" ht="16.350000000000001" customHeight="1" x14ac:dyDescent="0.25">
      <c r="B25" s="34"/>
      <c r="D25" s="10" t="str" cm="1">
        <f t="array" ref="D25">IF($B25="","",_xll.SNL.Clients.Office.Excel.Functions.SPG($B25, "SP_COMPANY_NAME"))</f>
        <v/>
      </c>
      <c r="G25" s="21" t="str" cm="1">
        <f t="array" ref="G25">IF($B25="","",_xll.SNL.Clients.Office.Excel.Functions.SPG($B25,"SP_LASTSALEPRICE",WORKDAY($F$2+1,-1),"Options:Curr="&amp;I25&amp;",NA=--"))</f>
        <v/>
      </c>
      <c r="H25" s="13" t="str" cm="1">
        <f t="array" ref="H25">IF($B25="","",_xll.SNL.Clients.Office.Excel.Functions.SPG($B25,"SP_PRICE_CLOSE",WORKDAY($F$2+1,-1),"Options:Curr="&amp;$F$3&amp;", NA=--"))</f>
        <v/>
      </c>
      <c r="I25" s="40" t="str" cm="1">
        <f t="array" ref="I25">IF($B25="","",_xll.SNL.Clients.Office.Excel.Functions.SPG($B25,"SP_TRADING_CURRENCY","Options: NA=--"))</f>
        <v/>
      </c>
      <c r="J25" s="15" t="str" cm="1">
        <f t="array" ref="J25">IF($B25="","",_xll.SNL.Clients.Office.Excel.Functions.SPG($B25,"SP_MARKETCAP",WORKDAY($F$2+1,-1),"Options:Curr="&amp;$F$3&amp;", Mag=Millions, NA=--"))</f>
        <v/>
      </c>
      <c r="K25" s="15" t="str" cm="1">
        <f t="array" ref="K25">IF($B25="","",_xll.SNL.Clients.Office.Excel.Functions.SPG($B25,"IQ_TEV",WORKDAY($F$2+1,-1),"Options:Curr="&amp;$F$3&amp;", Mag=Millions, NA=--"))</f>
        <v/>
      </c>
      <c r="L25" s="16" t="str">
        <f>IFERROR(IF(OR($K25/AN25&gt;L$4,$K25/AN25&lt;L$3),"nmf ",$K25/AN25),"n/a ")</f>
        <v xml:space="preserve">n/a </v>
      </c>
      <c r="M25" s="16" t="str">
        <f>IFERROR(IF(OR($K25/AO25&gt;M$4,$K25/AO25&lt;M$3),"nmf ",$K25/AO25),"n/a ")</f>
        <v xml:space="preserve">n/a </v>
      </c>
      <c r="N25" s="16" t="str">
        <f>IFERROR(IF(OR($K25/AP25&gt;N$4,$K25/AP25&lt;N$3),"nmf ",$K25/AP25),"n/a ")</f>
        <v xml:space="preserve">n/a </v>
      </c>
      <c r="O25" s="16" t="str">
        <f>IFERROR(IF(OR($K25/AQ25&gt;O$4,$K25/AQ25&lt;O$3),"nmf ",$K25/AQ25),"n/a ")</f>
        <v xml:space="preserve">n/a </v>
      </c>
      <c r="P25" s="16" t="str">
        <f>IFERROR(IF(OR($K25/AS25&gt;P$4,$K25/AS25&lt;P$3),"nmf ",$K25/AS25),"n/a ")</f>
        <v xml:space="preserve">n/a </v>
      </c>
      <c r="Q25" s="16" t="str">
        <f>IFERROR(IF(OR($K25/AT25&gt;Q$4,$K25/AT25&lt;Q$3),"nmf ",$K25/AT25),"n/a ")</f>
        <v xml:space="preserve">n/a </v>
      </c>
      <c r="R25" s="16" t="str">
        <f>IFERROR(IF(OR($K25/AU25&gt;R$4,$K25/AU25&lt;R$3),"nmf ",$K25/AU25),"n/a ")</f>
        <v xml:space="preserve">n/a </v>
      </c>
      <c r="S25" s="16" t="str">
        <f>IFERROR(IF(OR($K25/AV25&gt;S$4,$K25/AV25&lt;S$3),"nmf ",$K25/AV25),"n/a ")</f>
        <v xml:space="preserve">n/a </v>
      </c>
      <c r="T25" s="33" t="str">
        <f t="shared" si="23"/>
        <v xml:space="preserve">n/a </v>
      </c>
      <c r="U25" s="33" t="str">
        <f t="shared" si="23"/>
        <v xml:space="preserve">n/a </v>
      </c>
      <c r="V25" s="16" t="str">
        <f>IFERROR($H25/AX25,"n/a ")</f>
        <v xml:space="preserve">n/a </v>
      </c>
      <c r="W25" s="16" t="str">
        <f>IFERROR($H25/AY25,"n/a ")</f>
        <v xml:space="preserve">n/a </v>
      </c>
      <c r="X25" s="16" t="str">
        <f>IFERROR($H25/AZ25,"n/a ")</f>
        <v xml:space="preserve">n/a </v>
      </c>
      <c r="Y25" s="16" t="str">
        <f>IFERROR($H25/BB25,"n/a ")</f>
        <v xml:space="preserve">n/a </v>
      </c>
      <c r="Z25" s="16" t="str">
        <f>IFERROR($H25/BC25,"n/a ")</f>
        <v xml:space="preserve">n/a </v>
      </c>
      <c r="AA25" s="16" t="str">
        <f>IFERROR($H25/BD25,"n/a ")</f>
        <v xml:space="preserve">n/a </v>
      </c>
      <c r="AB25" s="33" t="str">
        <f t="shared" si="29"/>
        <v/>
      </c>
      <c r="AC25" s="33" t="str">
        <f t="shared" si="29"/>
        <v/>
      </c>
      <c r="AD25" s="33" t="str">
        <f t="shared" si="24"/>
        <v/>
      </c>
      <c r="AE25" s="33" t="str">
        <f t="shared" si="25"/>
        <v/>
      </c>
      <c r="AF25" s="33" t="str">
        <f t="shared" si="30"/>
        <v xml:space="preserve">n/a </v>
      </c>
      <c r="AG25" s="33" t="str">
        <f t="shared" si="30"/>
        <v xml:space="preserve">n/a </v>
      </c>
      <c r="AH25" s="33" t="str">
        <f t="shared" si="26"/>
        <v xml:space="preserve">n/a </v>
      </c>
      <c r="AI25" s="33" t="str">
        <f t="shared" si="27"/>
        <v xml:space="preserve">n/a </v>
      </c>
      <c r="AJ25" s="83" t="str">
        <f t="shared" si="31"/>
        <v xml:space="preserve">n/a </v>
      </c>
      <c r="AK25" s="83" t="str">
        <f t="shared" si="32"/>
        <v xml:space="preserve">n/a </v>
      </c>
      <c r="AL25" s="72"/>
      <c r="AN25" s="20" t="str" cm="1">
        <f t="array" ref="AN25">IF($B25="","",_xll.SNL.Clients.Office.Excel.Functions.SPG($B25,"IQ_REV",AN$7,$F$2,"Options:Curr="&amp;$F$3&amp;", Mag=Millions, NA=--"))</f>
        <v/>
      </c>
      <c r="AO25" s="20" t="str" cm="1">
        <f t="array" ref="AO25">IF($B25="","",_xll.SNL.Clients.Office.Excel.Functions.SPG($B25,"SP_REV_EST",AO$7,$F$2,"Options:Curr="&amp;$F$3&amp;", Mag=Millions, NA=--"))</f>
        <v/>
      </c>
      <c r="AP25" s="20" t="str" cm="1">
        <f t="array" ref="AP25">IF($B25="","",_xll.SNL.Clients.Office.Excel.Functions.SPG($B25,"SP_REV_EST",AP$7,$F$2,"Options:Curr="&amp;$F$3&amp;", Mag=Millions, NA=--"))</f>
        <v/>
      </c>
      <c r="AQ25" s="20" t="str" cm="1">
        <f t="array" ref="AQ25">IF($B25="","",_xll.SNL.Clients.Office.Excel.Functions.SPG($B25,"SP_REV_EST",AQ$7,$F$2,"Options:Curr="&amp;$F$3&amp;", Mag=Millions, NA=--"))</f>
        <v/>
      </c>
      <c r="AS25" s="20" t="str" cm="1">
        <f t="array" ref="AS25">IF($B25="","",_xll.SNL.Clients.Office.Excel.Functions.SPG($B25,"SP_EBITDA",AS$7,$F$2,"Options:Curr="&amp;$F$3&amp;", Mag=Millions, NA=--"))</f>
        <v/>
      </c>
      <c r="AT25" s="20" t="str" cm="1">
        <f t="array" ref="AT25">IF($B25="","",_xll.SNL.Clients.Office.Excel.Functions.SPG($B25,"SP_EBITDA_EST",AT$7,$F$2,"Options:Curr="&amp;$F$3&amp;", Mag=Millions, NA=--"))</f>
        <v/>
      </c>
      <c r="AU25" s="20" t="str" cm="1">
        <f t="array" ref="AU25">IF($B25="","",_xll.SNL.Clients.Office.Excel.Functions.SPG($B25,"SP_EBITDA_EST",AU$7,$F$2,"Options:Curr="&amp;$F$3&amp;", Mag=Millions, NA=--"))</f>
        <v/>
      </c>
      <c r="AV25" s="20" t="str" cm="1">
        <f t="array" ref="AV25">IF($B25="","",_xll.SNL.Clients.Office.Excel.Functions.SPG($B25,"SP_EBITDA_EST",AV$7,$F$2,"Options:Curr="&amp;$F$3&amp;", Mag=Millions, NA=--"))</f>
        <v/>
      </c>
      <c r="AX25" s="13" t="str" cm="1">
        <f t="array" ref="AX25">IF($B25="","",_xll.SNL.Clients.Office.Excel.Functions.SPG($B25,"SP_EPS_EST",AX$7,$F$2,"Options:Curr="&amp;$F$3&amp;", NA=--"))</f>
        <v/>
      </c>
      <c r="AY25" s="13" t="str" cm="1">
        <f t="array" ref="AY25">IF($B25="","",_xll.SNL.Clients.Office.Excel.Functions.SPG($B25,"SP_EPS_EST",AY$7,$F$2,"Options:Curr="&amp;$F$3&amp;", NA=--"))</f>
        <v/>
      </c>
      <c r="AZ25" s="13" t="str" cm="1">
        <f t="array" ref="AZ25">IF($B25="","",_xll.SNL.Clients.Office.Excel.Functions.SPG($B25,"SP_EPS_EST",AZ$7,$F$2,"Options:Curr="&amp;$F$3&amp;", NA=--"))</f>
        <v/>
      </c>
      <c r="BB25" s="13" t="str" cm="1">
        <f t="array" ref="BB25">IF($B25="","",_xll.SNL.Clients.Office.Excel.Functions.SPG($B25,"SP_CFPS_EST",BB$7,$F$2,"Options:Curr="&amp;$F$3&amp;", NA=--"))</f>
        <v/>
      </c>
      <c r="BC25" s="13" t="str" cm="1">
        <f t="array" ref="BC25">IF($B25="","",_xll.SNL.Clients.Office.Excel.Functions.SPG($B25,"SP_CFPS_EST",BC$7,$F$2,"Options:Curr="&amp;$F$3&amp;", NA=--"))</f>
        <v/>
      </c>
      <c r="BD25" s="13" t="str" cm="1">
        <f t="array" ref="BD25">IF($B25="","",_xll.SNL.Clients.Office.Excel.Functions.SPG($B25,"SP_CFPS_EST",BD$7,$F$2,"Options:Curr="&amp;$F$3&amp;", NA=--"))</f>
        <v/>
      </c>
      <c r="BF25" s="66" t="str" cm="1">
        <f t="array" ref="BF25">IF($B25="","",_xll.SNL.Clients.Office.Excel.Functions.SPG($B25,"SP_DIV_YIELD",WORKDAY($F$2+1,-1),"Options: NA=--"))</f>
        <v/>
      </c>
      <c r="BG25" s="19" t="str" cm="1">
        <f t="array" ref="BG25">IF($B25="","",_xll.SNL.Clients.Office.Excel.Functions.SPG($B25,"IQ_TOTAL_EQUITY","FQ0",$F$2,"Options:Curr="&amp;$F$3&amp;", Mag=Millions, NA=--"))</f>
        <v/>
      </c>
      <c r="BH25" s="19" t="str" cm="1">
        <f t="array" ref="BH25">IF($B25="","",_xll.SNL.Clients.Office.Excel.Functions.SPG($B25,"IQ_TOTAL_DEBT","FQ0",$F$2,"Options:Curr="&amp;$F$3&amp;", Mag=Millions, NA=--"))</f>
        <v/>
      </c>
      <c r="BI25" s="19" t="str" cm="1">
        <f t="array" ref="BI25">IF($B25="","",_xll.SNL.Clients.Office.Excel.Functions.SPG($B25,"IQ_CASH_ST_INVEST","FQ0",$F$2,"Options:Curr="&amp;$F$3&amp;", Mag=Millions, NA=--"))</f>
        <v/>
      </c>
      <c r="BJ25" s="37" t="e">
        <f>+BH25-BI25</f>
        <v>#VALUE!</v>
      </c>
      <c r="BK25" s="19" t="str" cm="1">
        <f t="array" ref="BK25">IF($B25="","",_xll.SNL.Clients.Office.Excel.Functions.SPG($B25,"IQ_TOTAL_EQUITY","FQ0",$F$2,"Options:Curr="&amp;$F$3&amp;", Mag=Millions, NA=--"))</f>
        <v/>
      </c>
      <c r="BM25" s="20" t="str">
        <f>IFERROR($AO25*$BR25,"n/a")</f>
        <v>n/a</v>
      </c>
      <c r="BN25" s="20" t="str">
        <f>IFERROR($AP25*BS25,"n/a")</f>
        <v>n/a</v>
      </c>
      <c r="BO25" s="20" t="str">
        <f>IFERROR($AQ25*$BT25,"n/a")</f>
        <v>n/a</v>
      </c>
      <c r="BQ25" s="44" t="str">
        <f>IF($B25="","",IFERROR(_xll.SNL.Clients.Office.Excel.Functions.SPG($B25,"SP_GROSS_MARGIN",BQ$7,$F$2,"Options: NA=--")/100,"--"))</f>
        <v/>
      </c>
      <c r="BR25" s="44" t="str">
        <f>IF($B25="","",IFERROR(_xll.SNL.Clients.Office.Excel.Functions.SPG($B25,"SP_GROSS_MARGIN_EST",BR$7,$F$2,"Options: NA=--")/100,"--"))</f>
        <v/>
      </c>
      <c r="BS25" s="44" t="str">
        <f>IF($B25="","",IFERROR(_xll.SNL.Clients.Office.Excel.Functions.SPG($B25,"SP_GROSS_MARGIN_EST",BS$7,$F$2,"Options: NA=--")/100,"--"))</f>
        <v/>
      </c>
      <c r="BT25" s="44" t="str">
        <f>IF($B25="","",IFERROR(_xll.SNL.Clients.Office.Excel.Functions.SPG($B25,"SP_GROSS_MARGIN_EST",BT$7,$F$2,"Options: NA=--")/100,"--"))</f>
        <v/>
      </c>
      <c r="BU25" s="45"/>
      <c r="BV25" s="47" t="str" cm="1">
        <f t="array" ref="BV25">IF($B25="","",_xll.SNL.Clients.Office.Excel.Functions.SPG($B25,"SP_GROSS_MARGIN_NUM_EST",BV$7,$F$2,"Options: NA=--"))</f>
        <v/>
      </c>
      <c r="BW25" s="47" t="str" cm="1">
        <f t="array" ref="BW25">IF($B25="","",_xll.SNL.Clients.Office.Excel.Functions.SPG($B25,"SP_GROSS_MARGIN_NUM_EST",BW$7,$F$2,"Options: NA=--"))</f>
        <v/>
      </c>
      <c r="BX25" s="47" t="str" cm="1">
        <f t="array" ref="BX25">IF($B25="","",_xll.SNL.Clients.Office.Excel.Functions.SPG($B25,"SP_GROSS_MARGIN_NUM_EST",BX$7,$F$2,"Options: NA=--"))</f>
        <v/>
      </c>
      <c r="BZ25" s="62" t="str">
        <f>IFERROR(IF(CD25/AO25&lt;0,"nmf ",CD25/AO25),"n/a ")</f>
        <v xml:space="preserve">n/a </v>
      </c>
      <c r="CA25" s="62" t="str">
        <f>IFERROR(IF(CE25/AP25&lt;0,"nmf ",CE25/AP25),"n/a ")</f>
        <v xml:space="preserve">n/a </v>
      </c>
      <c r="CB25" s="62" t="str">
        <f>IFERROR(IF(CF25/AQ25&lt;0,"nmf ",CF25/AQ25),"n/a ")</f>
        <v xml:space="preserve">n/a </v>
      </c>
      <c r="CD25" s="20" t="str">
        <f>IFERROR(BR25*AO25,"--")</f>
        <v>--</v>
      </c>
      <c r="CE25" s="20" t="str">
        <f>IFERROR(BS25*AP25,"--")</f>
        <v>--</v>
      </c>
      <c r="CF25" s="20" t="str">
        <f>IFERROR(BT25*AQ25,"--")</f>
        <v>--</v>
      </c>
    </row>
    <row r="26" spans="2:84" s="10" customFormat="1" ht="3" customHeight="1" x14ac:dyDescent="0.25">
      <c r="B26" s="11"/>
      <c r="G26" s="14"/>
      <c r="H26" s="14"/>
      <c r="I26" s="40"/>
      <c r="J26" s="22"/>
      <c r="K26" s="23"/>
      <c r="L26" s="23"/>
      <c r="M26" s="16"/>
      <c r="N26" s="16"/>
      <c r="O26" s="16"/>
      <c r="P26" s="16"/>
      <c r="Q26" s="16"/>
      <c r="R26" s="16"/>
      <c r="S26" s="16"/>
      <c r="T26" s="17"/>
      <c r="U26" s="17"/>
      <c r="V26" s="16"/>
      <c r="W26" s="16"/>
      <c r="X26" s="16"/>
      <c r="Y26" s="16"/>
      <c r="Z26" s="16"/>
      <c r="AA26" s="16"/>
      <c r="AB26" s="17"/>
      <c r="AC26" s="17"/>
      <c r="AD26" s="17"/>
      <c r="AE26" s="17"/>
      <c r="AF26" s="17"/>
      <c r="AG26" s="17"/>
      <c r="AH26" s="17"/>
      <c r="AI26" s="17"/>
      <c r="AJ26" s="17"/>
      <c r="AK26" s="17"/>
      <c r="AL26" s="17"/>
      <c r="AN26" s="19"/>
      <c r="AO26" s="13"/>
      <c r="AP26" s="13"/>
      <c r="AQ26" s="13"/>
      <c r="AT26" s="20"/>
      <c r="AU26" s="20"/>
      <c r="AV26" s="20"/>
      <c r="AX26" s="13"/>
      <c r="AY26" s="13"/>
      <c r="AZ26" s="13"/>
      <c r="BF26" s="19"/>
      <c r="BG26" s="19"/>
      <c r="BH26" s="19"/>
      <c r="BI26" s="19"/>
      <c r="BJ26" s="19"/>
      <c r="BK26" s="19"/>
      <c r="BR26" s="45"/>
      <c r="BS26" s="45"/>
      <c r="BT26" s="45"/>
      <c r="BU26" s="45"/>
      <c r="BV26" s="48"/>
      <c r="BW26" s="48"/>
      <c r="BX26" s="48"/>
      <c r="BZ26" s="45"/>
      <c r="CA26" s="45"/>
      <c r="CB26" s="45"/>
    </row>
    <row r="27" spans="2:84" s="10" customFormat="1" ht="16.350000000000001" customHeight="1" x14ac:dyDescent="0.25">
      <c r="B27" s="9"/>
      <c r="D27" s="24" t="s">
        <v>22</v>
      </c>
      <c r="E27" s="24"/>
      <c r="F27" s="24"/>
      <c r="G27" s="24"/>
      <c r="H27" s="24"/>
      <c r="I27" s="24"/>
      <c r="J27" s="25"/>
      <c r="K27" s="25"/>
      <c r="L27" s="35" t="str">
        <f>IFERROR(AVERAGE(L20:L25),"n/a ")</f>
        <v xml:space="preserve">n/a </v>
      </c>
      <c r="M27" s="35" t="str">
        <f>IFERROR(AVERAGE(M20:M25),"n/a ")</f>
        <v xml:space="preserve">n/a </v>
      </c>
      <c r="N27" s="26" t="str">
        <f>IFERROR(AVERAGE(N20:N25),"n/a ")</f>
        <v xml:space="preserve">n/a </v>
      </c>
      <c r="O27" s="26" t="str">
        <f>IFERROR(AVERAGE(O20:O25),"n/a ")</f>
        <v xml:space="preserve">n/a </v>
      </c>
      <c r="P27" s="26" t="str">
        <f t="shared" ref="P27" si="37">IFERROR(AVERAGE(P20:P25),"n/a ")</f>
        <v xml:space="preserve">n/a </v>
      </c>
      <c r="Q27" s="26" t="str">
        <f t="shared" ref="Q27:AK27" si="38">IFERROR(AVERAGE(Q20:Q25),"n/a ")</f>
        <v xml:space="preserve">n/a </v>
      </c>
      <c r="R27" s="26" t="str">
        <f t="shared" si="38"/>
        <v xml:space="preserve">n/a </v>
      </c>
      <c r="S27" s="26" t="str">
        <f t="shared" si="38"/>
        <v xml:space="preserve">n/a </v>
      </c>
      <c r="T27" s="36" t="str">
        <f t="shared" si="38"/>
        <v xml:space="preserve">n/a </v>
      </c>
      <c r="U27" s="36" t="str">
        <f t="shared" si="38"/>
        <v xml:space="preserve">n/a </v>
      </c>
      <c r="V27" s="26" t="str">
        <f t="shared" si="38"/>
        <v xml:space="preserve">n/a </v>
      </c>
      <c r="W27" s="26" t="str">
        <f t="shared" si="38"/>
        <v xml:space="preserve">n/a </v>
      </c>
      <c r="X27" s="26" t="str">
        <f t="shared" si="38"/>
        <v xml:space="preserve">n/a </v>
      </c>
      <c r="Y27" s="26" t="str">
        <f t="shared" si="38"/>
        <v xml:space="preserve">n/a </v>
      </c>
      <c r="Z27" s="26" t="str">
        <f t="shared" si="38"/>
        <v xml:space="preserve">n/a </v>
      </c>
      <c r="AA27" s="26" t="str">
        <f t="shared" si="38"/>
        <v xml:space="preserve">n/a </v>
      </c>
      <c r="AB27" s="36" t="str">
        <f t="shared" ref="AB27" si="39">IFERROR(AVERAGE(AB20:AB25),"n/a ")</f>
        <v xml:space="preserve">n/a </v>
      </c>
      <c r="AC27" s="36" t="str">
        <f t="shared" si="38"/>
        <v xml:space="preserve">n/a </v>
      </c>
      <c r="AD27" s="36" t="str">
        <f t="shared" si="38"/>
        <v xml:space="preserve">n/a </v>
      </c>
      <c r="AE27" s="36" t="str">
        <f t="shared" si="38"/>
        <v xml:space="preserve">n/a </v>
      </c>
      <c r="AF27" s="36" t="str">
        <f t="shared" ref="AF27" si="40">IFERROR(AVERAGE(AF20:AF25),"n/a ")</f>
        <v xml:space="preserve">n/a </v>
      </c>
      <c r="AG27" s="36" t="str">
        <f t="shared" si="38"/>
        <v xml:space="preserve">n/a </v>
      </c>
      <c r="AH27" s="36" t="str">
        <f t="shared" si="38"/>
        <v xml:space="preserve">n/a </v>
      </c>
      <c r="AI27" s="36" t="str">
        <f t="shared" si="38"/>
        <v xml:space="preserve">n/a </v>
      </c>
      <c r="AJ27" s="84" t="str">
        <f t="shared" si="38"/>
        <v xml:space="preserve">n/a </v>
      </c>
      <c r="AK27" s="84" t="str">
        <f t="shared" si="38"/>
        <v xml:space="preserve">n/a </v>
      </c>
      <c r="AL27" s="36"/>
      <c r="BR27" s="45"/>
      <c r="BS27" s="45"/>
      <c r="BT27" s="45"/>
      <c r="BU27" s="45"/>
      <c r="BV27" s="48"/>
      <c r="BW27" s="48"/>
      <c r="BX27" s="48"/>
      <c r="BZ27" s="45"/>
      <c r="CA27" s="45"/>
      <c r="CB27" s="45"/>
    </row>
    <row r="28" spans="2:84" s="10" customFormat="1" ht="3" customHeight="1" x14ac:dyDescent="0.25">
      <c r="B28" s="11"/>
      <c r="I28" s="42"/>
      <c r="J28" s="28"/>
      <c r="K28" s="28"/>
      <c r="L28" s="28"/>
      <c r="AT28" s="27"/>
      <c r="AU28" s="27"/>
      <c r="AV28" s="27"/>
      <c r="BF28" s="67"/>
      <c r="BR28" s="45"/>
      <c r="BS28" s="45"/>
      <c r="BT28" s="45"/>
      <c r="BU28" s="45"/>
      <c r="BV28" s="48"/>
      <c r="BW28" s="48"/>
      <c r="BX28" s="48"/>
      <c r="BZ28" s="63"/>
      <c r="CA28" s="63"/>
      <c r="CB28" s="63"/>
    </row>
    <row r="29" spans="2:84" s="10" customFormat="1" ht="16.350000000000001" customHeight="1" x14ac:dyDescent="0.25">
      <c r="B29" s="11"/>
      <c r="D29" s="71" t="s">
        <v>52</v>
      </c>
      <c r="G29" s="14"/>
      <c r="H29" s="14"/>
      <c r="I29" s="40"/>
      <c r="J29" s="22"/>
      <c r="K29" s="22"/>
      <c r="L29" s="22"/>
      <c r="M29" s="18"/>
      <c r="N29" s="18"/>
      <c r="O29" s="18"/>
      <c r="P29" s="18"/>
      <c r="Q29" s="18"/>
      <c r="R29" s="18"/>
      <c r="S29" s="18"/>
      <c r="T29" s="17"/>
      <c r="U29" s="17"/>
      <c r="V29" s="18"/>
      <c r="W29" s="18"/>
      <c r="X29" s="18"/>
      <c r="Y29" s="18"/>
      <c r="Z29" s="18"/>
      <c r="AA29" s="18"/>
      <c r="AB29" s="17"/>
      <c r="AC29" s="17"/>
      <c r="AD29" s="17"/>
      <c r="AE29" s="17"/>
      <c r="AF29" s="17"/>
      <c r="AG29" s="17"/>
      <c r="AH29" s="17"/>
      <c r="AI29" s="17"/>
      <c r="AJ29" s="17"/>
      <c r="AK29" s="17"/>
      <c r="AL29" s="17"/>
      <c r="AN29" s="13"/>
      <c r="AO29" s="13"/>
      <c r="AP29" s="13"/>
      <c r="AQ29" s="13"/>
      <c r="AT29" s="20"/>
      <c r="AU29" s="20"/>
      <c r="AV29" s="20"/>
      <c r="AX29" s="13"/>
      <c r="AY29" s="13"/>
      <c r="AZ29" s="13"/>
      <c r="BF29" s="66"/>
      <c r="BG29" s="19"/>
      <c r="BH29" s="19"/>
      <c r="BI29" s="19"/>
      <c r="BJ29" s="19"/>
      <c r="BK29" s="19"/>
      <c r="BR29" s="45"/>
      <c r="BS29" s="45"/>
      <c r="BT29" s="45"/>
      <c r="BU29" s="45"/>
      <c r="BV29" s="48"/>
      <c r="BW29" s="48"/>
      <c r="BX29" s="48"/>
      <c r="BZ29" s="63"/>
      <c r="CA29" s="63"/>
      <c r="CB29" s="63"/>
    </row>
    <row r="30" spans="2:84" s="10" customFormat="1" ht="16.350000000000001" customHeight="1" x14ac:dyDescent="0.25">
      <c r="B30" s="34"/>
      <c r="D30" s="10" t="str" cm="1">
        <f t="array" ref="D30">IF($B30="","",_xll.SNL.Clients.Office.Excel.Functions.SPG($B30, "SP_COMPANY_NAME"))</f>
        <v/>
      </c>
      <c r="G30" s="21" t="str" cm="1">
        <f t="array" ref="G30">IF($B30="","",_xll.SNL.Clients.Office.Excel.Functions.SPG($B30,"SP_LASTSALEPRICE",WORKDAY($F$2+1,-1),"Options:Curr="&amp;I30&amp;",NA=--"))</f>
        <v/>
      </c>
      <c r="H30" s="13" t="str" cm="1">
        <f t="array" ref="H30">IF($B30="","",_xll.SNL.Clients.Office.Excel.Functions.SPG($B30,"SP_PRICE_CLOSE",WORKDAY($F$2+1,-1),"Options:Curr="&amp;$F$3&amp;", NA=--"))</f>
        <v/>
      </c>
      <c r="I30" s="40" t="str" cm="1">
        <f t="array" ref="I30">IF($B30="","",_xll.SNL.Clients.Office.Excel.Functions.SPG($B30,"SP_TRADING_CURRENCY","Options: NA=--"))</f>
        <v/>
      </c>
      <c r="J30" s="15" t="str" cm="1">
        <f t="array" ref="J30">IF($B30="","",_xll.SNL.Clients.Office.Excel.Functions.SPG($B30,"SP_MARKETCAP",WORKDAY($F$2+1,-1),"Options:Curr="&amp;$F$3&amp;", Mag=Millions, NA=--"))</f>
        <v/>
      </c>
      <c r="K30" s="15" t="str" cm="1">
        <f t="array" ref="K30">IF($B30="","",_xll.SNL.Clients.Office.Excel.Functions.SPG($B30,"IQ_TEV",WORKDAY($F$2+1,-1),"Options:Curr="&amp;$F$3&amp;", Mag=Millions, NA=--"))</f>
        <v/>
      </c>
      <c r="L30" s="16" t="str">
        <f>IFERROR(IF(OR($K30/AN30&gt;L$4,$K30/AN30&lt;L$3),"nmf ",$K30/AN30),"n/a ")</f>
        <v xml:space="preserve">n/a </v>
      </c>
      <c r="M30" s="16" t="str">
        <f>IFERROR(IF(OR($K30/AO30&gt;M$4,$K30/AO30&lt;M$3),"nmf ",$K30/AO30),"n/a ")</f>
        <v xml:space="preserve">n/a </v>
      </c>
      <c r="N30" s="16" t="str">
        <f>IFERROR(IF(OR($K30/AP30&gt;N$4,$K30/AP30&lt;N$3),"nmf ",$K30/AP30),"n/a ")</f>
        <v xml:space="preserve">n/a </v>
      </c>
      <c r="O30" s="16" t="str">
        <f>IFERROR(IF(OR($K30/AQ30&gt;O$4,$K30/AQ30&lt;O$3),"nmf ",$K30/AQ30),"n/a ")</f>
        <v xml:space="preserve">n/a </v>
      </c>
      <c r="P30" s="16" t="str">
        <f>IFERROR(IF(OR($K30/AS30&gt;P$4,$K30/AS30&lt;P$3),"nmf ",$K30/AS30),"n/a ")</f>
        <v xml:space="preserve">n/a </v>
      </c>
      <c r="Q30" s="16" t="str">
        <f>IFERROR(IF(OR($K30/AT30&gt;Q$4,$K30/AT30&lt;Q$3),"nmf ",$K30/AT30),"n/a ")</f>
        <v xml:space="preserve">n/a </v>
      </c>
      <c r="R30" s="16" t="str">
        <f>IFERROR(IF(OR($K30/AU30&gt;R$4,$K30/AU30&lt;R$3),"nmf ",$K30/AU30),"n/a ")</f>
        <v xml:space="preserve">n/a </v>
      </c>
      <c r="S30" s="16" t="str">
        <f>IFERROR(IF(OR($K30/AV30&gt;S$4,$K30/AV30&lt;S$3),"nmf ",$K30/AV30),"n/a ")</f>
        <v xml:space="preserve">n/a </v>
      </c>
      <c r="T30" s="33" t="str">
        <f t="shared" ref="T30:T35" si="41">IFERROR((AP30/AO30)-1,"n/a ")</f>
        <v xml:space="preserve">n/a </v>
      </c>
      <c r="U30" s="33" t="str">
        <f t="shared" ref="U30:U35" si="42">IFERROR((AQ30/AP30)-1,"n/a ")</f>
        <v xml:space="preserve">n/a </v>
      </c>
      <c r="V30" s="16" t="str">
        <f>IFERROR($H30/AX30,"n/a ")</f>
        <v xml:space="preserve">n/a </v>
      </c>
      <c r="W30" s="16" t="str">
        <f>IFERROR($H30/AY30,"n/a ")</f>
        <v xml:space="preserve">n/a </v>
      </c>
      <c r="X30" s="16" t="str">
        <f>IFERROR($H30/AZ30,"n/a ")</f>
        <v xml:space="preserve">n/a </v>
      </c>
      <c r="Y30" s="16" t="str">
        <f>IFERROR($H30/BB30,"n/a ")</f>
        <v xml:space="preserve">n/a </v>
      </c>
      <c r="Z30" s="16" t="str">
        <f>IFERROR($H30/BC30,"n/a ")</f>
        <v xml:space="preserve">n/a </v>
      </c>
      <c r="AA30" s="16" t="str">
        <f>IFERROR($H30/BD30,"n/a ")</f>
        <v xml:space="preserve">n/a </v>
      </c>
      <c r="AB30" s="33" t="str">
        <f>IFERROR(IF(BQ30="--","n/a ",BQ30),"n/a ")</f>
        <v/>
      </c>
      <c r="AC30" s="33" t="str">
        <f>IFERROR(IF(BR30="--","n/a ",BR30),"n/a ")</f>
        <v/>
      </c>
      <c r="AD30" s="33" t="str">
        <f t="shared" ref="AD30:AD35" si="43">IFERROR(IF(BS30="--","n/a ",BS30),"n/a ")</f>
        <v/>
      </c>
      <c r="AE30" s="33" t="str">
        <f t="shared" ref="AE30:AE35" si="44">IFERROR(IF(BT30="--","n/a ",BT30),"n/a ")</f>
        <v/>
      </c>
      <c r="AF30" s="33" t="str">
        <f>IFERROR((AS30/AN30),"n/a ")</f>
        <v xml:space="preserve">n/a </v>
      </c>
      <c r="AG30" s="33" t="str">
        <f>IFERROR((AT30/AO30),"n/a ")</f>
        <v xml:space="preserve">n/a </v>
      </c>
      <c r="AH30" s="33" t="str">
        <f t="shared" ref="AH30:AH35" si="45">IFERROR((AU30/AP30),"n/a ")</f>
        <v xml:space="preserve">n/a </v>
      </c>
      <c r="AI30" s="33" t="str">
        <f t="shared" ref="AI30:AI35" si="46">IFERROR((AV30/AQ30),"n/a ")</f>
        <v xml:space="preserve">n/a </v>
      </c>
      <c r="AJ30" s="83" t="str">
        <f>IFERROR((BJ30/AT30),"n/a ")</f>
        <v xml:space="preserve">n/a </v>
      </c>
      <c r="AK30" s="83" t="str">
        <f>IFERROR((BJ30/AU30),"n/a ")</f>
        <v xml:space="preserve">n/a </v>
      </c>
      <c r="AL30" s="72"/>
      <c r="AN30" s="20" t="str" cm="1">
        <f t="array" ref="AN30">IF($B30="","",_xll.SNL.Clients.Office.Excel.Functions.SPG($B30,"IQ_REV",AN$7,$F$2,"Options:Curr="&amp;$F$3&amp;", Mag=Millions, NA=--"))</f>
        <v/>
      </c>
      <c r="AO30" s="20" t="str" cm="1">
        <f t="array" ref="AO30">IF($B30="","",_xll.SNL.Clients.Office.Excel.Functions.SPG($B30,"SP_REV_EST",AO$7,$F$2,"Options:Curr="&amp;$F$3&amp;", Mag=Millions, NA=--"))</f>
        <v/>
      </c>
      <c r="AP30" s="20" t="str" cm="1">
        <f t="array" ref="AP30">IF($B30="","",_xll.SNL.Clients.Office.Excel.Functions.SPG($B30,"SP_REV_EST",AP$7,$F$2,"Options:Curr="&amp;$F$3&amp;", Mag=Millions, NA=--"))</f>
        <v/>
      </c>
      <c r="AQ30" s="20" t="str" cm="1">
        <f t="array" ref="AQ30">IF($B30="","",_xll.SNL.Clients.Office.Excel.Functions.SPG($B30,"SP_REV_EST",AQ$7,$F$2,"Options:Curr="&amp;$F$3&amp;", Mag=Millions, NA=--"))</f>
        <v/>
      </c>
      <c r="AS30" s="20" t="str" cm="1">
        <f t="array" ref="AS30">IF($B30="","",_xll.SNL.Clients.Office.Excel.Functions.SPG($B30,"SP_EBITDA",AS$7,$F$2,"Options:Curr="&amp;$F$3&amp;", Mag=Millions, NA=--"))</f>
        <v/>
      </c>
      <c r="AT30" s="20" t="str" cm="1">
        <f t="array" ref="AT30">IF($B30="","",_xll.SNL.Clients.Office.Excel.Functions.SPG($B30,"SP_EBITDA_EST",AT$7,$F$2,"Options:Curr="&amp;$F$3&amp;", Mag=Millions, NA=--"))</f>
        <v/>
      </c>
      <c r="AU30" s="20" t="str" cm="1">
        <f t="array" ref="AU30">IF($B30="","",_xll.SNL.Clients.Office.Excel.Functions.SPG($B30,"SP_EBITDA_EST",AU$7,$F$2,"Options:Curr="&amp;$F$3&amp;", Mag=Millions, NA=--"))</f>
        <v/>
      </c>
      <c r="AV30" s="20" t="str" cm="1">
        <f t="array" ref="AV30">IF($B30="","",_xll.SNL.Clients.Office.Excel.Functions.SPG($B30,"SP_EBITDA_EST",AV$7,$F$2,"Options:Curr="&amp;$F$3&amp;", Mag=Millions, NA=--"))</f>
        <v/>
      </c>
      <c r="AX30" s="13" t="str" cm="1">
        <f t="array" ref="AX30">IF($B30="","",_xll.SNL.Clients.Office.Excel.Functions.SPG($B30,"SP_EPS_EST",AX$7,$F$2,"Options:Curr="&amp;$F$3&amp;", NA=--"))</f>
        <v/>
      </c>
      <c r="AY30" s="13" t="str" cm="1">
        <f t="array" ref="AY30">IF($B30="","",_xll.SNL.Clients.Office.Excel.Functions.SPG($B30,"SP_EPS_EST",AY$7,$F$2,"Options:Curr="&amp;$F$3&amp;", NA=--"))</f>
        <v/>
      </c>
      <c r="AZ30" s="13" t="str" cm="1">
        <f t="array" ref="AZ30">IF($B30="","",_xll.SNL.Clients.Office.Excel.Functions.SPG($B30,"SP_EPS_EST",AZ$7,$F$2,"Options:Curr="&amp;$F$3&amp;", NA=--"))</f>
        <v/>
      </c>
      <c r="BB30" s="13" t="str" cm="1">
        <f t="array" ref="BB30">IF($B30="","",_xll.SNL.Clients.Office.Excel.Functions.SPG($B30,"SP_CFPS_EST",BB$7,$F$2,"Options:Curr="&amp;$F$3&amp;", NA=--"))</f>
        <v/>
      </c>
      <c r="BC30" s="13" t="str" cm="1">
        <f t="array" ref="BC30">IF($B30="","",_xll.SNL.Clients.Office.Excel.Functions.SPG($B30,"SP_CFPS_EST",BC$7,$F$2,"Options:Curr="&amp;$F$3&amp;", NA=--"))</f>
        <v/>
      </c>
      <c r="BD30" s="13" t="str" cm="1">
        <f t="array" ref="BD30">IF($B30="","",_xll.SNL.Clients.Office.Excel.Functions.SPG($B30,"SP_CFPS_EST",BD$7,$F$2,"Options:Curr="&amp;$F$3&amp;", NA=--"))</f>
        <v/>
      </c>
      <c r="BF30" s="66" t="str" cm="1">
        <f t="array" ref="BF30">IF($B30="","",_xll.SNL.Clients.Office.Excel.Functions.SPG($B30,"SP_DIV_YIELD",WORKDAY($F$2+1,-1),"Options: NA=--"))</f>
        <v/>
      </c>
      <c r="BG30" s="19" t="str" cm="1">
        <f t="array" ref="BG30">IF($B30="","",_xll.SNL.Clients.Office.Excel.Functions.SPG($B30,"IQ_TOTAL_EQUITY","FQ0",$F$2,"Options:Curr="&amp;$F$3&amp;", Mag=Millions, NA=--"))</f>
        <v/>
      </c>
      <c r="BH30" s="19" t="str" cm="1">
        <f t="array" ref="BH30">IF($B30="","",_xll.SNL.Clients.Office.Excel.Functions.SPG($B30,"IQ_TOTAL_DEBT","FQ0",$F$2,"Options:Curr="&amp;$F$3&amp;", Mag=Millions, NA=--"))</f>
        <v/>
      </c>
      <c r="BI30" s="19" t="str" cm="1">
        <f t="array" ref="BI30">IF($B30="","",_xll.SNL.Clients.Office.Excel.Functions.SPG($B30,"IQ_CASH_ST_INVEST","FQ0",$F$2,"Options:Curr="&amp;$F$3&amp;", Mag=Millions, NA=--"))</f>
        <v/>
      </c>
      <c r="BJ30" s="37" t="e">
        <f t="shared" ref="BJ30:BJ34" si="47">+BH30-BI30</f>
        <v>#VALUE!</v>
      </c>
      <c r="BK30" s="19" t="str" cm="1">
        <f t="array" ref="BK30">IF($B30="","",_xll.SNL.Clients.Office.Excel.Functions.SPG($B30,"IQ_TOTAL_EQUITY","FQ0",$F$2,"Options:Curr="&amp;$F$3&amp;", Mag=Millions, NA=--"))</f>
        <v/>
      </c>
      <c r="BM30" s="20" t="str">
        <f>IFERROR($AO30*$BR30,"n/a")</f>
        <v>n/a</v>
      </c>
      <c r="BN30" s="20" t="str">
        <f>IFERROR($AP30*BS30,"n/a")</f>
        <v>n/a</v>
      </c>
      <c r="BO30" s="20" t="str">
        <f>IFERROR($AQ30*$BT30,"n/a")</f>
        <v>n/a</v>
      </c>
      <c r="BQ30" s="44" t="str">
        <f>IF($B30="","",IFERROR(_xll.SNL.Clients.Office.Excel.Functions.SPG($B30,"SP_GROSS_MARGIN",BQ$7,$F$2,"Options: NA=--")/100,"--"))</f>
        <v/>
      </c>
      <c r="BR30" s="44" t="str">
        <f>IF($B30="","",IFERROR(_xll.SNL.Clients.Office.Excel.Functions.SPG($B30,"SP_GROSS_MARGIN_EST",BR$7,$F$2,"Options: NA=--")/100,"--"))</f>
        <v/>
      </c>
      <c r="BS30" s="44" t="str">
        <f>IF($B30="","",IFERROR(_xll.SNL.Clients.Office.Excel.Functions.SPG($B30,"SP_GROSS_MARGIN_EST",BS$7,$F$2,"Options: NA=--")/100,"--"))</f>
        <v/>
      </c>
      <c r="BT30" s="44" t="str">
        <f>IF($B30="","",IFERROR(_xll.SNL.Clients.Office.Excel.Functions.SPG($B30,"SP_GROSS_MARGIN_EST",BT$7,$F$2,"Options: NA=--")/100,"--"))</f>
        <v/>
      </c>
      <c r="BU30" s="45"/>
      <c r="BV30" s="47" t="str" cm="1">
        <f t="array" ref="BV30">IF($B30="","",_xll.SNL.Clients.Office.Excel.Functions.SPG($B30,"SP_GROSS_MARGIN_NUM_EST",BV$7,$F$2,"Options: NA=--"))</f>
        <v/>
      </c>
      <c r="BW30" s="47" t="str" cm="1">
        <f t="array" ref="BW30">IF($B30="","",_xll.SNL.Clients.Office.Excel.Functions.SPG($B30,"SP_GROSS_MARGIN_NUM_EST",BW$7,$F$2,"Options: NA=--"))</f>
        <v/>
      </c>
      <c r="BX30" s="47" t="str" cm="1">
        <f t="array" ref="BX30">IF($B30="","",_xll.SNL.Clients.Office.Excel.Functions.SPG($B30,"SP_GROSS_MARGIN_NUM_EST",BX$7,$F$2,"Options: NA=--"))</f>
        <v/>
      </c>
      <c r="BZ30" s="62" t="str">
        <f>IFERROR(IF(CD30/AO30&lt;0,"nmf ",CD30/AO30),"n/a ")</f>
        <v xml:space="preserve">n/a </v>
      </c>
      <c r="CA30" s="62" t="str">
        <f>IFERROR(IF(CE30/AP30&lt;0,"nmf ",CE30/AP30),"n/a ")</f>
        <v xml:space="preserve">n/a </v>
      </c>
      <c r="CB30" s="62" t="str">
        <f>IFERROR(IF(CF30/AQ30&lt;0,"nmf ",CF30/AQ30),"n/a ")</f>
        <v xml:space="preserve">n/a </v>
      </c>
      <c r="CD30" s="20" t="str">
        <f>IFERROR(BR30*AO30,"--")</f>
        <v>--</v>
      </c>
      <c r="CE30" s="20" t="str">
        <f>IFERROR(BS30*AP30,"--")</f>
        <v>--</v>
      </c>
      <c r="CF30" s="20" t="str">
        <f>IFERROR(BT30*AQ30,"--")</f>
        <v>--</v>
      </c>
    </row>
    <row r="31" spans="2:84" s="10" customFormat="1" ht="16.350000000000001" customHeight="1" x14ac:dyDescent="0.25">
      <c r="B31" s="34"/>
      <c r="D31" s="10" t="str" cm="1">
        <f t="array" ref="D31">IF($B31="","",_xll.SNL.Clients.Office.Excel.Functions.SPG($B31, "SP_COMPANY_NAME"))</f>
        <v/>
      </c>
      <c r="G31" s="21" t="str" cm="1">
        <f t="array" ref="G31">IF($B31="","",_xll.SNL.Clients.Office.Excel.Functions.SPG($B31,"SP_LASTSALEPRICE",WORKDAY($F$2+1,-1),"Options:Curr="&amp;I31&amp;",NA=--"))</f>
        <v/>
      </c>
      <c r="H31" s="13" t="str" cm="1">
        <f t="array" ref="H31">IF($B31="","",_xll.SNL.Clients.Office.Excel.Functions.SPG($B31,"SP_PRICE_CLOSE",WORKDAY($F$2+1,-1),"Options:Curr="&amp;$F$3&amp;", NA=--"))</f>
        <v/>
      </c>
      <c r="I31" s="40" t="str" cm="1">
        <f t="array" ref="I31">IF($B31="","",_xll.SNL.Clients.Office.Excel.Functions.SPG($B31,"SP_TRADING_CURRENCY","Options: NA=--"))</f>
        <v/>
      </c>
      <c r="J31" s="15" t="str" cm="1">
        <f t="array" ref="J31">IF($B31="","",_xll.SNL.Clients.Office.Excel.Functions.SPG($B31,"SP_MARKETCAP",WORKDAY($F$2+1,-1),"Options:Curr="&amp;$F$3&amp;", Mag=Millions, NA=--"))</f>
        <v/>
      </c>
      <c r="K31" s="15" t="str" cm="1">
        <f t="array" ref="K31">IF($B31="","",_xll.SNL.Clients.Office.Excel.Functions.SPG($B31,"IQ_TEV",WORKDAY($F$2+1,-1),"Options:Curr="&amp;$F$3&amp;", Mag=Millions, NA=--"))</f>
        <v/>
      </c>
      <c r="L31" s="16" t="str">
        <f>IFERROR(IF(OR($K31/AN31&gt;L$4,$K31/AN31&lt;L$3),"nmf ",$K31/AN31),"n/a ")</f>
        <v xml:space="preserve">n/a </v>
      </c>
      <c r="M31" s="16" t="str">
        <f>IFERROR(IF(OR($K31/AO31&gt;M$4,$K31/AO31&lt;M$3),"nmf ",$K31/AO31),"n/a ")</f>
        <v xml:space="preserve">n/a </v>
      </c>
      <c r="N31" s="16" t="str">
        <f>IFERROR(IF(OR($K31/AP31&gt;N$4,$K31/AP31&lt;N$3),"nmf ",$K31/AP31),"n/a ")</f>
        <v xml:space="preserve">n/a </v>
      </c>
      <c r="O31" s="16" t="str">
        <f>IFERROR(IF(OR($K31/AQ31&gt;O$4,$K31/AQ31&lt;O$3),"nmf ",$K31/AQ31),"n/a ")</f>
        <v xml:space="preserve">n/a </v>
      </c>
      <c r="P31" s="16" t="str">
        <f>IFERROR(IF(OR($K31/AS31&gt;P$4,$K31/AS31&lt;P$3),"nmf ",$K31/AS31),"n/a ")</f>
        <v xml:space="preserve">n/a </v>
      </c>
      <c r="Q31" s="16" t="str">
        <f>IFERROR(IF(OR($K31/AT31&gt;Q$4,$K31/AT31&lt;Q$3),"nmf ",$K31/AT31),"n/a ")</f>
        <v xml:space="preserve">n/a </v>
      </c>
      <c r="R31" s="16" t="str">
        <f>IFERROR(IF(OR($K31/AU31&gt;R$4,$K31/AU31&lt;R$3),"nmf ",$K31/AU31),"n/a ")</f>
        <v xml:space="preserve">n/a </v>
      </c>
      <c r="S31" s="16" t="str">
        <f>IFERROR(IF(OR($K31/AV31&gt;S$4,$K31/AV31&lt;S$3),"nmf ",$K31/AV31),"n/a ")</f>
        <v xml:space="preserve">n/a </v>
      </c>
      <c r="T31" s="33" t="str">
        <f t="shared" si="41"/>
        <v xml:space="preserve">n/a </v>
      </c>
      <c r="U31" s="33" t="str">
        <f t="shared" si="42"/>
        <v xml:space="preserve">n/a </v>
      </c>
      <c r="V31" s="16" t="str">
        <f>IFERROR($H31/AX31,"n/a ")</f>
        <v xml:space="preserve">n/a </v>
      </c>
      <c r="W31" s="16" t="str">
        <f>IFERROR($H31/AY31,"n/a ")</f>
        <v xml:space="preserve">n/a </v>
      </c>
      <c r="X31" s="16" t="str">
        <f>IFERROR($H31/AZ31,"n/a ")</f>
        <v xml:space="preserve">n/a </v>
      </c>
      <c r="Y31" s="16" t="str">
        <f>IFERROR($H31/BB31,"n/a ")</f>
        <v xml:space="preserve">n/a </v>
      </c>
      <c r="Z31" s="16" t="str">
        <f>IFERROR($H31/BC31,"n/a ")</f>
        <v xml:space="preserve">n/a </v>
      </c>
      <c r="AA31" s="16" t="str">
        <f>IFERROR($H31/BD31,"n/a ")</f>
        <v xml:space="preserve">n/a </v>
      </c>
      <c r="AB31" s="33" t="str">
        <f t="shared" ref="AB31:AC35" si="48">IFERROR(IF(BQ31="--","n/a ",BQ31),"n/a ")</f>
        <v/>
      </c>
      <c r="AC31" s="33" t="str">
        <f t="shared" si="48"/>
        <v/>
      </c>
      <c r="AD31" s="33" t="str">
        <f t="shared" si="43"/>
        <v/>
      </c>
      <c r="AE31" s="33" t="str">
        <f t="shared" si="44"/>
        <v/>
      </c>
      <c r="AF31" s="33" t="str">
        <f t="shared" ref="AF31:AG35" si="49">IFERROR((AS31/AN31),"n/a ")</f>
        <v xml:space="preserve">n/a </v>
      </c>
      <c r="AG31" s="33" t="str">
        <f t="shared" si="49"/>
        <v xml:space="preserve">n/a </v>
      </c>
      <c r="AH31" s="33" t="str">
        <f t="shared" si="45"/>
        <v xml:space="preserve">n/a </v>
      </c>
      <c r="AI31" s="33" t="str">
        <f t="shared" si="46"/>
        <v xml:space="preserve">n/a </v>
      </c>
      <c r="AJ31" s="83" t="str">
        <f t="shared" ref="AJ31:AJ35" si="50">IFERROR((BJ31/AT31),"n/a ")</f>
        <v xml:space="preserve">n/a </v>
      </c>
      <c r="AK31" s="83" t="str">
        <f t="shared" ref="AK31:AK35" si="51">IFERROR((BJ31/AU31),"n/a ")</f>
        <v xml:space="preserve">n/a </v>
      </c>
      <c r="AL31" s="72"/>
      <c r="AN31" s="20" t="str" cm="1">
        <f t="array" ref="AN31">IF($B31="","",_xll.SNL.Clients.Office.Excel.Functions.SPG($B31,"IQ_REV",AN$7,$F$2,"Options:Curr="&amp;$F$3&amp;", Mag=Millions, NA=--"))</f>
        <v/>
      </c>
      <c r="AO31" s="20" t="str" cm="1">
        <f t="array" ref="AO31">IF($B31="","",_xll.SNL.Clients.Office.Excel.Functions.SPG($B31,"SP_REV_EST",AO$7,$F$2,"Options:Curr="&amp;$F$3&amp;", Mag=Millions, NA=--"))</f>
        <v/>
      </c>
      <c r="AP31" s="20" t="str" cm="1">
        <f t="array" ref="AP31">IF($B31="","",_xll.SNL.Clients.Office.Excel.Functions.SPG($B31,"SP_REV_EST",AP$7,$F$2,"Options:Curr="&amp;$F$3&amp;", Mag=Millions, NA=--"))</f>
        <v/>
      </c>
      <c r="AQ31" s="20" t="str" cm="1">
        <f t="array" ref="AQ31">IF($B31="","",_xll.SNL.Clients.Office.Excel.Functions.SPG($B31,"SP_REV_EST",AQ$7,$F$2,"Options:Curr="&amp;$F$3&amp;", Mag=Millions, NA=--"))</f>
        <v/>
      </c>
      <c r="AS31" s="20" t="str" cm="1">
        <f t="array" ref="AS31">IF($B31="","",_xll.SNL.Clients.Office.Excel.Functions.SPG($B31,"SP_EBITDA",AS$7,$F$2,"Options:Curr="&amp;$F$3&amp;", Mag=Millions, NA=--"))</f>
        <v/>
      </c>
      <c r="AT31" s="20" t="str" cm="1">
        <f t="array" ref="AT31">IF($B31="","",_xll.SNL.Clients.Office.Excel.Functions.SPG($B31,"SP_EBITDA_EST",AT$7,$F$2,"Options:Curr="&amp;$F$3&amp;", Mag=Millions, NA=--"))</f>
        <v/>
      </c>
      <c r="AU31" s="20" t="str" cm="1">
        <f t="array" ref="AU31">IF($B31="","",_xll.SNL.Clients.Office.Excel.Functions.SPG($B31,"SP_EBITDA_EST",AU$7,$F$2,"Options:Curr="&amp;$F$3&amp;", Mag=Millions, NA=--"))</f>
        <v/>
      </c>
      <c r="AV31" s="20" t="str" cm="1">
        <f t="array" ref="AV31">IF($B31="","",_xll.SNL.Clients.Office.Excel.Functions.SPG($B31,"SP_EBITDA_EST",AV$7,$F$2,"Options:Curr="&amp;$F$3&amp;", Mag=Millions, NA=--"))</f>
        <v/>
      </c>
      <c r="AX31" s="13" t="str" cm="1">
        <f t="array" ref="AX31">IF($B31="","",_xll.SNL.Clients.Office.Excel.Functions.SPG($B31,"SP_EPS_EST",AX$7,$F$2,"Options:Curr="&amp;$F$3&amp;", NA=--"))</f>
        <v/>
      </c>
      <c r="AY31" s="13" t="str" cm="1">
        <f t="array" ref="AY31">IF($B31="","",_xll.SNL.Clients.Office.Excel.Functions.SPG($B31,"SP_EPS_EST",AY$7,$F$2,"Options:Curr="&amp;$F$3&amp;", NA=--"))</f>
        <v/>
      </c>
      <c r="AZ31" s="13" t="str" cm="1">
        <f t="array" ref="AZ31">IF($B31="","",_xll.SNL.Clients.Office.Excel.Functions.SPG($B31,"SP_EPS_EST",AZ$7,$F$2,"Options:Curr="&amp;$F$3&amp;", NA=--"))</f>
        <v/>
      </c>
      <c r="BB31" s="13" t="str" cm="1">
        <f t="array" ref="BB31">IF($B31="","",_xll.SNL.Clients.Office.Excel.Functions.SPG($B31,"SP_CFPS_EST",BB$7,$F$2,"Options:Curr="&amp;$F$3&amp;", NA=--"))</f>
        <v/>
      </c>
      <c r="BC31" s="13" t="str" cm="1">
        <f t="array" ref="BC31">IF($B31="","",_xll.SNL.Clients.Office.Excel.Functions.SPG($B31,"SP_CFPS_EST",BC$7,$F$2,"Options:Curr="&amp;$F$3&amp;", NA=--"))</f>
        <v/>
      </c>
      <c r="BD31" s="13" t="str" cm="1">
        <f t="array" ref="BD31">IF($B31="","",_xll.SNL.Clients.Office.Excel.Functions.SPG($B31,"SP_CFPS_EST",BD$7,$F$2,"Options:Curr="&amp;$F$3&amp;", NA=--"))</f>
        <v/>
      </c>
      <c r="BF31" s="66" t="str" cm="1">
        <f t="array" ref="BF31">IF($B31="","",_xll.SNL.Clients.Office.Excel.Functions.SPG($B31,"SP_DIV_YIELD",WORKDAY($F$2+1,-1),"Options: NA=--"))</f>
        <v/>
      </c>
      <c r="BG31" s="19" t="str" cm="1">
        <f t="array" ref="BG31">IF($B31="","",_xll.SNL.Clients.Office.Excel.Functions.SPG($B31,"IQ_TOTAL_EQUITY","FQ0",$F$2,"Options:Curr="&amp;$F$3&amp;", Mag=Millions, NA=--"))</f>
        <v/>
      </c>
      <c r="BH31" s="19" t="str" cm="1">
        <f t="array" ref="BH31">IF($B31="","",_xll.SNL.Clients.Office.Excel.Functions.SPG($B31,"IQ_TOTAL_DEBT","FQ0",$F$2,"Options:Curr="&amp;$F$3&amp;", Mag=Millions, NA=--"))</f>
        <v/>
      </c>
      <c r="BI31" s="19" t="str" cm="1">
        <f t="array" ref="BI31">IF($B31="","",_xll.SNL.Clients.Office.Excel.Functions.SPG($B31,"IQ_CASH_ST_INVEST","FQ0",$F$2,"Options:Curr="&amp;$F$3&amp;", Mag=Millions, NA=--"))</f>
        <v/>
      </c>
      <c r="BJ31" s="37" t="e">
        <f t="shared" si="47"/>
        <v>#VALUE!</v>
      </c>
      <c r="BK31" s="19" t="str" cm="1">
        <f t="array" ref="BK31">IF($B31="","",_xll.SNL.Clients.Office.Excel.Functions.SPG($B31,"IQ_TOTAL_EQUITY","FQ0",$F$2,"Options:Curr="&amp;$F$3&amp;", Mag=Millions, NA=--"))</f>
        <v/>
      </c>
      <c r="BM31" s="20" t="str">
        <f>IFERROR($AO31*$BR31,"n/a")</f>
        <v>n/a</v>
      </c>
      <c r="BN31" s="20" t="str">
        <f>IFERROR($AP31*BS31,"n/a")</f>
        <v>n/a</v>
      </c>
      <c r="BO31" s="20" t="str">
        <f>IFERROR($AQ31*$BT31,"n/a")</f>
        <v>n/a</v>
      </c>
      <c r="BQ31" s="44" t="str">
        <f>IF($B31="","",IFERROR(_xll.SNL.Clients.Office.Excel.Functions.SPG($B31,"SP_GROSS_MARGIN",BQ$7,$F$2,"Options: NA=--")/100,"--"))</f>
        <v/>
      </c>
      <c r="BR31" s="44" t="str">
        <f>IF($B31="","",IFERROR(_xll.SNL.Clients.Office.Excel.Functions.SPG($B31,"SP_GROSS_MARGIN_EST",BR$7,$F$2,"Options: NA=--")/100,"--"))</f>
        <v/>
      </c>
      <c r="BS31" s="44" t="str">
        <f>IF($B31="","",IFERROR(_xll.SNL.Clients.Office.Excel.Functions.SPG($B31,"SP_GROSS_MARGIN_EST",BS$7,$F$2,"Options: NA=--")/100,"--"))</f>
        <v/>
      </c>
      <c r="BT31" s="44" t="str">
        <f>IF($B31="","",IFERROR(_xll.SNL.Clients.Office.Excel.Functions.SPG($B31,"SP_GROSS_MARGIN_EST",BT$7,$F$2,"Options: NA=--")/100,"--"))</f>
        <v/>
      </c>
      <c r="BU31" s="45"/>
      <c r="BV31" s="47" t="str" cm="1">
        <f t="array" ref="BV31">IF($B31="","",_xll.SNL.Clients.Office.Excel.Functions.SPG($B31,"SP_GROSS_MARGIN_NUM_EST",BV$7,$F$2,"Options: NA=--"))</f>
        <v/>
      </c>
      <c r="BW31" s="47" t="str" cm="1">
        <f t="array" ref="BW31">IF($B31="","",_xll.SNL.Clients.Office.Excel.Functions.SPG($B31,"SP_GROSS_MARGIN_NUM_EST",BW$7,$F$2,"Options: NA=--"))</f>
        <v/>
      </c>
      <c r="BX31" s="47" t="str" cm="1">
        <f t="array" ref="BX31">IF($B31="","",_xll.SNL.Clients.Office.Excel.Functions.SPG($B31,"SP_GROSS_MARGIN_NUM_EST",BX$7,$F$2,"Options: NA=--"))</f>
        <v/>
      </c>
      <c r="BZ31" s="62" t="str">
        <f>IFERROR(IF(CD31/AO31&lt;0,"nmf ",CD31/AO31),"n/a ")</f>
        <v xml:space="preserve">n/a </v>
      </c>
      <c r="CA31" s="62" t="str">
        <f>IFERROR(IF(CE31/AP31&lt;0,"nmf ",CE31/AP31),"n/a ")</f>
        <v xml:space="preserve">n/a </v>
      </c>
      <c r="CB31" s="62" t="str">
        <f>IFERROR(IF(CF31/AQ31&lt;0,"nmf ",CF31/AQ31),"n/a ")</f>
        <v xml:space="preserve">n/a </v>
      </c>
      <c r="CD31" s="20" t="str">
        <f>IFERROR(BR31*AO31,"--")</f>
        <v>--</v>
      </c>
      <c r="CE31" s="20" t="str">
        <f>IFERROR(BS31*AP31,"--")</f>
        <v>--</v>
      </c>
      <c r="CF31" s="20" t="str">
        <f>IFERROR(BT31*AQ31,"--")</f>
        <v>--</v>
      </c>
    </row>
    <row r="32" spans="2:84" s="10" customFormat="1" ht="16.350000000000001" customHeight="1" x14ac:dyDescent="0.25">
      <c r="B32" s="34"/>
      <c r="D32" s="10" t="str" cm="1">
        <f t="array" ref="D32">IF($B32="","",_xll.SNL.Clients.Office.Excel.Functions.SPG($B32, "SP_COMPANY_NAME"))</f>
        <v/>
      </c>
      <c r="G32" s="21" t="str" cm="1">
        <f t="array" ref="G32">IF($B32="","",_xll.SNL.Clients.Office.Excel.Functions.SPG($B32,"SP_LASTSALEPRICE",WORKDAY($F$2+1,-1),"Options:Curr="&amp;I32&amp;",NA=--"))</f>
        <v/>
      </c>
      <c r="H32" s="13" t="str" cm="1">
        <f t="array" ref="H32">IF($B32="","",_xll.SNL.Clients.Office.Excel.Functions.SPG($B32,"SP_PRICE_CLOSE",WORKDAY($F$2+1,-1),"Options:Curr="&amp;$F$3&amp;", NA=--"))</f>
        <v/>
      </c>
      <c r="I32" s="40" t="str" cm="1">
        <f t="array" ref="I32">IF($B32="","",_xll.SNL.Clients.Office.Excel.Functions.SPG($B32,"SP_TRADING_CURRENCY","Options: NA=--"))</f>
        <v/>
      </c>
      <c r="J32" s="15" t="str" cm="1">
        <f t="array" ref="J32">IF($B32="","",_xll.SNL.Clients.Office.Excel.Functions.SPG($B32,"SP_MARKETCAP",WORKDAY($F$2+1,-1),"Options:Curr="&amp;$F$3&amp;", Mag=Millions, NA=--"))</f>
        <v/>
      </c>
      <c r="K32" s="15" t="str" cm="1">
        <f t="array" ref="K32">IF($B32="","",_xll.SNL.Clients.Office.Excel.Functions.SPG($B32,"IQ_TEV",WORKDAY($F$2+1,-1),"Options:Curr="&amp;$F$3&amp;", Mag=Millions, NA=--"))</f>
        <v/>
      </c>
      <c r="L32" s="16" t="str">
        <f>IFERROR(IF(OR($K32/AN32&gt;L$4,$K32/AN32&lt;L$3),"nmf ",$K32/AN32),"n/a ")</f>
        <v xml:space="preserve">n/a </v>
      </c>
      <c r="M32" s="16" t="str">
        <f>IFERROR(IF(OR($K32/AO32&gt;M$4,$K32/AO32&lt;M$3),"nmf ",$K32/AO32),"n/a ")</f>
        <v xml:space="preserve">n/a </v>
      </c>
      <c r="N32" s="16" t="str">
        <f>IFERROR(IF(OR($K32/AP32&gt;N$4,$K32/AP32&lt;N$3),"nmf ",$K32/AP32),"n/a ")</f>
        <v xml:space="preserve">n/a </v>
      </c>
      <c r="O32" s="16" t="str">
        <f>IFERROR(IF(OR($K32/AQ32&gt;O$4,$K32/AQ32&lt;O$3),"nmf ",$K32/AQ32),"n/a ")</f>
        <v xml:space="preserve">n/a </v>
      </c>
      <c r="P32" s="16" t="str">
        <f>IFERROR(IF(OR($K32/AS32&gt;P$4,$K32/AS32&lt;P$3),"nmf ",$K32/AS32),"n/a ")</f>
        <v xml:space="preserve">n/a </v>
      </c>
      <c r="Q32" s="16" t="str">
        <f>IFERROR(IF(OR($K32/AT32&gt;Q$4,$K32/AT32&lt;Q$3),"nmf ",$K32/AT32),"n/a ")</f>
        <v xml:space="preserve">n/a </v>
      </c>
      <c r="R32" s="16" t="str">
        <f>IFERROR(IF(OR($K32/AU32&gt;R$4,$K32/AU32&lt;R$3),"nmf ",$K32/AU32),"n/a ")</f>
        <v xml:space="preserve">n/a </v>
      </c>
      <c r="S32" s="16" t="str">
        <f>IFERROR(IF(OR($K32/AV32&gt;S$4,$K32/AV32&lt;S$3),"nmf ",$K32/AV32),"n/a ")</f>
        <v xml:space="preserve">n/a </v>
      </c>
      <c r="T32" s="33" t="str">
        <f t="shared" si="41"/>
        <v xml:space="preserve">n/a </v>
      </c>
      <c r="U32" s="33" t="str">
        <f t="shared" si="42"/>
        <v xml:space="preserve">n/a </v>
      </c>
      <c r="V32" s="16" t="str">
        <f>IFERROR($H32/AX32,"n/a ")</f>
        <v xml:space="preserve">n/a </v>
      </c>
      <c r="W32" s="16" t="str">
        <f>IFERROR($H32/AY32,"n/a ")</f>
        <v xml:space="preserve">n/a </v>
      </c>
      <c r="X32" s="16" t="str">
        <f>IFERROR($H32/AZ32,"n/a ")</f>
        <v xml:space="preserve">n/a </v>
      </c>
      <c r="Y32" s="16" t="str">
        <f>IFERROR($H32/BB32,"n/a ")</f>
        <v xml:space="preserve">n/a </v>
      </c>
      <c r="Z32" s="16" t="str">
        <f>IFERROR($H32/BC32,"n/a ")</f>
        <v xml:space="preserve">n/a </v>
      </c>
      <c r="AA32" s="16" t="str">
        <f>IFERROR($H32/BD32,"n/a ")</f>
        <v xml:space="preserve">n/a </v>
      </c>
      <c r="AB32" s="33" t="str">
        <f t="shared" si="48"/>
        <v/>
      </c>
      <c r="AC32" s="33" t="str">
        <f t="shared" si="48"/>
        <v/>
      </c>
      <c r="AD32" s="33" t="str">
        <f t="shared" si="43"/>
        <v/>
      </c>
      <c r="AE32" s="33" t="str">
        <f t="shared" si="44"/>
        <v/>
      </c>
      <c r="AF32" s="33" t="str">
        <f t="shared" si="49"/>
        <v xml:space="preserve">n/a </v>
      </c>
      <c r="AG32" s="33" t="str">
        <f t="shared" si="49"/>
        <v xml:space="preserve">n/a </v>
      </c>
      <c r="AH32" s="33" t="str">
        <f t="shared" si="45"/>
        <v xml:space="preserve">n/a </v>
      </c>
      <c r="AI32" s="33" t="str">
        <f t="shared" si="46"/>
        <v xml:space="preserve">n/a </v>
      </c>
      <c r="AJ32" s="83" t="str">
        <f t="shared" si="50"/>
        <v xml:space="preserve">n/a </v>
      </c>
      <c r="AK32" s="83" t="str">
        <f t="shared" si="51"/>
        <v xml:space="preserve">n/a </v>
      </c>
      <c r="AL32" s="72"/>
      <c r="AN32" s="20" t="str" cm="1">
        <f t="array" ref="AN32">IF($B32="","",_xll.SNL.Clients.Office.Excel.Functions.SPG($B32,"IQ_REV",AN$7,$F$2,"Options:Curr="&amp;$F$3&amp;", Mag=Millions, NA=--"))</f>
        <v/>
      </c>
      <c r="AO32" s="20" t="str" cm="1">
        <f t="array" ref="AO32">IF($B32="","",_xll.SNL.Clients.Office.Excel.Functions.SPG($B32,"SP_REV_EST",AO$7,$F$2,"Options:Curr="&amp;$F$3&amp;", Mag=Millions, NA=--"))</f>
        <v/>
      </c>
      <c r="AP32" s="20" t="str" cm="1">
        <f t="array" ref="AP32">IF($B32="","",_xll.SNL.Clients.Office.Excel.Functions.SPG($B32,"SP_REV_EST",AP$7,$F$2,"Options:Curr="&amp;$F$3&amp;", Mag=Millions, NA=--"))</f>
        <v/>
      </c>
      <c r="AQ32" s="20" t="str" cm="1">
        <f t="array" ref="AQ32">IF($B32="","",_xll.SNL.Clients.Office.Excel.Functions.SPG($B32,"SP_REV_EST",AQ$7,$F$2,"Options:Curr="&amp;$F$3&amp;", Mag=Millions, NA=--"))</f>
        <v/>
      </c>
      <c r="AS32" s="20" t="str" cm="1">
        <f t="array" ref="AS32">IF($B32="","",_xll.SNL.Clients.Office.Excel.Functions.SPG($B32,"SP_EBITDA",AS$7,$F$2,"Options:Curr="&amp;$F$3&amp;", Mag=Millions, NA=--"))</f>
        <v/>
      </c>
      <c r="AT32" s="20" t="str" cm="1">
        <f t="array" ref="AT32">IF($B32="","",_xll.SNL.Clients.Office.Excel.Functions.SPG($B32,"SP_EBITDA_EST",AT$7,$F$2,"Options:Curr="&amp;$F$3&amp;", Mag=Millions, NA=--"))</f>
        <v/>
      </c>
      <c r="AU32" s="20" t="str" cm="1">
        <f t="array" ref="AU32">IF($B32="","",_xll.SNL.Clients.Office.Excel.Functions.SPG($B32,"SP_EBITDA_EST",AU$7,$F$2,"Options:Curr="&amp;$F$3&amp;", Mag=Millions, NA=--"))</f>
        <v/>
      </c>
      <c r="AV32" s="20" t="str" cm="1">
        <f t="array" ref="AV32">IF($B32="","",_xll.SNL.Clients.Office.Excel.Functions.SPG($B32,"SP_EBITDA_EST",AV$7,$F$2,"Options:Curr="&amp;$F$3&amp;", Mag=Millions, NA=--"))</f>
        <v/>
      </c>
      <c r="AX32" s="13" t="str" cm="1">
        <f t="array" ref="AX32">IF($B32="","",_xll.SNL.Clients.Office.Excel.Functions.SPG($B32,"SP_EPS_EST",AX$7,$F$2,"Options:Curr="&amp;$F$3&amp;", NA=--"))</f>
        <v/>
      </c>
      <c r="AY32" s="13" t="str" cm="1">
        <f t="array" ref="AY32">IF($B32="","",_xll.SNL.Clients.Office.Excel.Functions.SPG($B32,"SP_EPS_EST",AY$7,$F$2,"Options:Curr="&amp;$F$3&amp;", NA=--"))</f>
        <v/>
      </c>
      <c r="AZ32" s="13" t="str" cm="1">
        <f t="array" ref="AZ32">IF($B32="","",_xll.SNL.Clients.Office.Excel.Functions.SPG($B32,"SP_EPS_EST",AZ$7,$F$2,"Options:Curr="&amp;$F$3&amp;", NA=--"))</f>
        <v/>
      </c>
      <c r="BB32" s="13" t="str" cm="1">
        <f t="array" ref="BB32">IF($B32="","",_xll.SNL.Clients.Office.Excel.Functions.SPG($B32,"SP_CFPS_EST",BB$7,$F$2,"Options:Curr="&amp;$F$3&amp;", NA=--"))</f>
        <v/>
      </c>
      <c r="BC32" s="13" t="str" cm="1">
        <f t="array" ref="BC32">IF($B32="","",_xll.SNL.Clients.Office.Excel.Functions.SPG($B32,"SP_CFPS_EST",BC$7,$F$2,"Options:Curr="&amp;$F$3&amp;", NA=--"))</f>
        <v/>
      </c>
      <c r="BD32" s="13" t="str" cm="1">
        <f t="array" ref="BD32">IF($B32="","",_xll.SNL.Clients.Office.Excel.Functions.SPG($B32,"SP_CFPS_EST",BD$7,$F$2,"Options:Curr="&amp;$F$3&amp;", NA=--"))</f>
        <v/>
      </c>
      <c r="BF32" s="66" t="str" cm="1">
        <f t="array" ref="BF32">IF($B32="","",_xll.SNL.Clients.Office.Excel.Functions.SPG($B32,"SP_DIV_YIELD",WORKDAY($F$2+1,-1),"Options: NA=--"))</f>
        <v/>
      </c>
      <c r="BG32" s="19" t="str" cm="1">
        <f t="array" ref="BG32">IF($B32="","",_xll.SNL.Clients.Office.Excel.Functions.SPG($B32,"IQ_TOTAL_EQUITY","FQ0",$F$2,"Options:Curr="&amp;$F$3&amp;", Mag=Millions, NA=--"))</f>
        <v/>
      </c>
      <c r="BH32" s="19" t="str" cm="1">
        <f t="array" ref="BH32">IF($B32="","",_xll.SNL.Clients.Office.Excel.Functions.SPG($B32,"IQ_TOTAL_DEBT","FQ0",$F$2,"Options:Curr="&amp;$F$3&amp;", Mag=Millions, NA=--"))</f>
        <v/>
      </c>
      <c r="BI32" s="19" t="str" cm="1">
        <f t="array" ref="BI32">IF($B32="","",_xll.SNL.Clients.Office.Excel.Functions.SPG($B32,"IQ_CASH_ST_INVEST","FQ0",$F$2,"Options:Curr="&amp;$F$3&amp;", Mag=Millions, NA=--"))</f>
        <v/>
      </c>
      <c r="BJ32" s="37" t="e">
        <f t="shared" si="47"/>
        <v>#VALUE!</v>
      </c>
      <c r="BK32" s="19" t="str" cm="1">
        <f t="array" ref="BK32">IF($B32="","",_xll.SNL.Clients.Office.Excel.Functions.SPG($B32,"IQ_TOTAL_EQUITY","FQ0",$F$2,"Options:Curr="&amp;$F$3&amp;", Mag=Millions, NA=--"))</f>
        <v/>
      </c>
      <c r="BM32" s="20" t="str">
        <f>IFERROR($AO32*$BR32,"n/a")</f>
        <v>n/a</v>
      </c>
      <c r="BN32" s="20" t="str">
        <f>IFERROR($AP32*BS32,"n/a")</f>
        <v>n/a</v>
      </c>
      <c r="BO32" s="20" t="str">
        <f>IFERROR($AQ32*$BT32,"n/a")</f>
        <v>n/a</v>
      </c>
      <c r="BQ32" s="44" t="str">
        <f>IF($B32="","",IFERROR(_xll.SNL.Clients.Office.Excel.Functions.SPG($B32,"SP_GROSS_MARGIN",BQ$7,$F$2,"Options: NA=--")/100,"--"))</f>
        <v/>
      </c>
      <c r="BR32" s="44" t="str">
        <f>IF($B32="","",IFERROR(_xll.SNL.Clients.Office.Excel.Functions.SPG($B32,"SP_GROSS_MARGIN_EST",BR$7,$F$2,"Options: NA=--")/100,"--"))</f>
        <v/>
      </c>
      <c r="BS32" s="44" t="str">
        <f>IF($B32="","",IFERROR(_xll.SNL.Clients.Office.Excel.Functions.SPG($B32,"SP_GROSS_MARGIN_EST",BS$7,$F$2,"Options: NA=--")/100,"--"))</f>
        <v/>
      </c>
      <c r="BT32" s="44" t="str">
        <f>IF($B32="","",IFERROR(_xll.SNL.Clients.Office.Excel.Functions.SPG($B32,"SP_GROSS_MARGIN_EST",BT$7,$F$2,"Options: NA=--")/100,"--"))</f>
        <v/>
      </c>
      <c r="BU32" s="45"/>
      <c r="BV32" s="47" t="str" cm="1">
        <f t="array" ref="BV32">IF($B32="","",_xll.SNL.Clients.Office.Excel.Functions.SPG($B32,"SP_GROSS_MARGIN_NUM_EST",BV$7,$F$2,"Options: NA=--"))</f>
        <v/>
      </c>
      <c r="BW32" s="47" t="str" cm="1">
        <f t="array" ref="BW32">IF($B32="","",_xll.SNL.Clients.Office.Excel.Functions.SPG($B32,"SP_GROSS_MARGIN_NUM_EST",BW$7,$F$2,"Options: NA=--"))</f>
        <v/>
      </c>
      <c r="BX32" s="47" t="str" cm="1">
        <f t="array" ref="BX32">IF($B32="","",_xll.SNL.Clients.Office.Excel.Functions.SPG($B32,"SP_GROSS_MARGIN_NUM_EST",BX$7,$F$2,"Options: NA=--"))</f>
        <v/>
      </c>
      <c r="BZ32" s="62" t="str">
        <f>IFERROR(IF(CD32/AO32&lt;0,"nmf ",CD32/AO32),"n/a ")</f>
        <v xml:space="preserve">n/a </v>
      </c>
      <c r="CA32" s="62" t="str">
        <f>IFERROR(IF(CE32/AP32&lt;0,"nmf ",CE32/AP32),"n/a ")</f>
        <v xml:space="preserve">n/a </v>
      </c>
      <c r="CB32" s="62" t="str">
        <f>IFERROR(IF(CF32/AQ32&lt;0,"nmf ",CF32/AQ32),"n/a ")</f>
        <v xml:space="preserve">n/a </v>
      </c>
      <c r="CD32" s="20" t="str">
        <f>IFERROR(BR32*AO32,"--")</f>
        <v>--</v>
      </c>
      <c r="CE32" s="20" t="str">
        <f>IFERROR(BS32*AP32,"--")</f>
        <v>--</v>
      </c>
      <c r="CF32" s="20" t="str">
        <f>IFERROR(BT32*AQ32,"--")</f>
        <v>--</v>
      </c>
    </row>
    <row r="33" spans="2:84" s="10" customFormat="1" ht="16.350000000000001" customHeight="1" x14ac:dyDescent="0.25">
      <c r="B33" s="34"/>
      <c r="D33" s="10" t="str" cm="1">
        <f t="array" ref="D33">IF($B33="","",_xll.SNL.Clients.Office.Excel.Functions.SPG($B33, "SP_COMPANY_NAME"))</f>
        <v/>
      </c>
      <c r="G33" s="21" t="str" cm="1">
        <f t="array" ref="G33">IF($B33="","",_xll.SNL.Clients.Office.Excel.Functions.SPG($B33,"SP_LASTSALEPRICE",WORKDAY($F$2+1,-1),"Options:Curr="&amp;I33&amp;",NA=--"))</f>
        <v/>
      </c>
      <c r="H33" s="13" t="str" cm="1">
        <f t="array" ref="H33">IF($B33="","",_xll.SNL.Clients.Office.Excel.Functions.SPG($B33,"SP_PRICE_CLOSE",WORKDAY($F$2+1,-1),"Options:Curr="&amp;$F$3&amp;", NA=--"))</f>
        <v/>
      </c>
      <c r="I33" s="40" t="str" cm="1">
        <f t="array" ref="I33">IF($B33="","",_xll.SNL.Clients.Office.Excel.Functions.SPG($B33,"SP_TRADING_CURRENCY","Options: NA=--"))</f>
        <v/>
      </c>
      <c r="J33" s="15" t="str" cm="1">
        <f t="array" ref="J33">IF($B33="","",_xll.SNL.Clients.Office.Excel.Functions.SPG($B33,"SP_MARKETCAP",WORKDAY($F$2+1,-1),"Options:Curr="&amp;$F$3&amp;", Mag=Millions, NA=--"))</f>
        <v/>
      </c>
      <c r="K33" s="15" t="str" cm="1">
        <f t="array" ref="K33">IF($B33="","",_xll.SNL.Clients.Office.Excel.Functions.SPG($B33,"IQ_TEV",WORKDAY($F$2+1,-1),"Options:Curr="&amp;$F$3&amp;", Mag=Millions, NA=--"))</f>
        <v/>
      </c>
      <c r="L33" s="16" t="str">
        <f>IFERROR(IF(OR($K33/AN33&gt;L$4,$K33/AN33&lt;L$3),"nmf ",$K33/AN33),"n/a ")</f>
        <v xml:space="preserve">n/a </v>
      </c>
      <c r="M33" s="16" t="str">
        <f>IFERROR(IF(OR($K33/AO33&gt;M$4,$K33/AO33&lt;M$3),"nmf ",$K33/AO33),"n/a ")</f>
        <v xml:space="preserve">n/a </v>
      </c>
      <c r="N33" s="16" t="str">
        <f>IFERROR(IF(OR($K33/AP33&gt;N$4,$K33/AP33&lt;N$3),"nmf ",$K33/AP33),"n/a ")</f>
        <v xml:space="preserve">n/a </v>
      </c>
      <c r="O33" s="16" t="str">
        <f>IFERROR(IF(OR($K33/AQ33&gt;O$4,$K33/AQ33&lt;O$3),"nmf ",$K33/AQ33),"n/a ")</f>
        <v xml:space="preserve">n/a </v>
      </c>
      <c r="P33" s="16" t="str">
        <f>IFERROR(IF(OR($K33/AS33&gt;P$4,$K33/AS33&lt;P$3),"nmf ",$K33/AS33),"n/a ")</f>
        <v xml:space="preserve">n/a </v>
      </c>
      <c r="Q33" s="16" t="str">
        <f>IFERROR(IF(OR($K33/AT33&gt;Q$4,$K33/AT33&lt;Q$3),"nmf ",$K33/AT33),"n/a ")</f>
        <v xml:space="preserve">n/a </v>
      </c>
      <c r="R33" s="16" t="str">
        <f>IFERROR(IF(OR($K33/AU33&gt;R$4,$K33/AU33&lt;R$3),"nmf ",$K33/AU33),"n/a ")</f>
        <v xml:space="preserve">n/a </v>
      </c>
      <c r="S33" s="16" t="str">
        <f>IFERROR(IF(OR($K33/AV33&gt;S$4,$K33/AV33&lt;S$3),"nmf ",$K33/AV33),"n/a ")</f>
        <v xml:space="preserve">n/a </v>
      </c>
      <c r="T33" s="33" t="str">
        <f t="shared" si="41"/>
        <v xml:space="preserve">n/a </v>
      </c>
      <c r="U33" s="33" t="str">
        <f t="shared" si="42"/>
        <v xml:space="preserve">n/a </v>
      </c>
      <c r="V33" s="16" t="str">
        <f>IFERROR($H33/AX33,"n/a ")</f>
        <v xml:space="preserve">n/a </v>
      </c>
      <c r="W33" s="16" t="str">
        <f>IFERROR($H33/AY33,"n/a ")</f>
        <v xml:space="preserve">n/a </v>
      </c>
      <c r="X33" s="16" t="str">
        <f>IFERROR($H33/AZ33,"n/a ")</f>
        <v xml:space="preserve">n/a </v>
      </c>
      <c r="Y33" s="16" t="str">
        <f>IFERROR($H33/BB33,"n/a ")</f>
        <v xml:space="preserve">n/a </v>
      </c>
      <c r="Z33" s="16" t="str">
        <f>IFERROR($H33/BC33,"n/a ")</f>
        <v xml:space="preserve">n/a </v>
      </c>
      <c r="AA33" s="16" t="str">
        <f>IFERROR($H33/BD33,"n/a ")</f>
        <v xml:space="preserve">n/a </v>
      </c>
      <c r="AB33" s="33" t="str">
        <f t="shared" si="48"/>
        <v/>
      </c>
      <c r="AC33" s="33" t="str">
        <f t="shared" si="48"/>
        <v/>
      </c>
      <c r="AD33" s="33" t="str">
        <f t="shared" si="43"/>
        <v/>
      </c>
      <c r="AE33" s="33" t="str">
        <f t="shared" si="44"/>
        <v/>
      </c>
      <c r="AF33" s="33" t="str">
        <f t="shared" si="49"/>
        <v xml:space="preserve">n/a </v>
      </c>
      <c r="AG33" s="33" t="str">
        <f t="shared" si="49"/>
        <v xml:space="preserve">n/a </v>
      </c>
      <c r="AH33" s="33" t="str">
        <f t="shared" si="45"/>
        <v xml:space="preserve">n/a </v>
      </c>
      <c r="AI33" s="33" t="str">
        <f t="shared" si="46"/>
        <v xml:space="preserve">n/a </v>
      </c>
      <c r="AJ33" s="83" t="str">
        <f t="shared" si="50"/>
        <v xml:space="preserve">n/a </v>
      </c>
      <c r="AK33" s="83" t="str">
        <f t="shared" si="51"/>
        <v xml:space="preserve">n/a </v>
      </c>
      <c r="AL33" s="72"/>
      <c r="AN33" s="20" t="str" cm="1">
        <f t="array" ref="AN33">IF($B33="","",_xll.SNL.Clients.Office.Excel.Functions.SPG($B33,"IQ_REV",AN$7,$F$2,"Options:Curr="&amp;$F$3&amp;", Mag=Millions, NA=--"))</f>
        <v/>
      </c>
      <c r="AO33" s="20" t="str" cm="1">
        <f t="array" ref="AO33">IF($B33="","",_xll.SNL.Clients.Office.Excel.Functions.SPG($B33,"SP_REV_EST",AO$7,$F$2,"Options:Curr="&amp;$F$3&amp;", Mag=Millions, NA=--"))</f>
        <v/>
      </c>
      <c r="AP33" s="20" t="str" cm="1">
        <f t="array" ref="AP33">IF($B33="","",_xll.SNL.Clients.Office.Excel.Functions.SPG($B33,"SP_REV_EST",AP$7,$F$2,"Options:Curr="&amp;$F$3&amp;", Mag=Millions, NA=--"))</f>
        <v/>
      </c>
      <c r="AQ33" s="20" t="str" cm="1">
        <f t="array" ref="AQ33">IF($B33="","",_xll.SNL.Clients.Office.Excel.Functions.SPG($B33,"SP_REV_EST",AQ$7,$F$2,"Options:Curr="&amp;$F$3&amp;", Mag=Millions, NA=--"))</f>
        <v/>
      </c>
      <c r="AS33" s="20" t="str" cm="1">
        <f t="array" ref="AS33">IF($B33="","",_xll.SNL.Clients.Office.Excel.Functions.SPG($B33,"SP_EBITDA",AS$7,$F$2,"Options:Curr="&amp;$F$3&amp;", Mag=Millions, NA=--"))</f>
        <v/>
      </c>
      <c r="AT33" s="20" t="str" cm="1">
        <f t="array" ref="AT33">IF($B33="","",_xll.SNL.Clients.Office.Excel.Functions.SPG($B33,"SP_EBITDA_EST",AT$7,$F$2,"Options:Curr="&amp;$F$3&amp;", Mag=Millions, NA=--"))</f>
        <v/>
      </c>
      <c r="AU33" s="20" t="str" cm="1">
        <f t="array" ref="AU33">IF($B33="","",_xll.SNL.Clients.Office.Excel.Functions.SPG($B33,"SP_EBITDA_EST",AU$7,$F$2,"Options:Curr="&amp;$F$3&amp;", Mag=Millions, NA=--"))</f>
        <v/>
      </c>
      <c r="AV33" s="20" t="str" cm="1">
        <f t="array" ref="AV33">IF($B33="","",_xll.SNL.Clients.Office.Excel.Functions.SPG($B33,"SP_EBITDA_EST",AV$7,$F$2,"Options:Curr="&amp;$F$3&amp;", Mag=Millions, NA=--"))</f>
        <v/>
      </c>
      <c r="AX33" s="13" t="str" cm="1">
        <f t="array" ref="AX33">IF($B33="","",_xll.SNL.Clients.Office.Excel.Functions.SPG($B33,"SP_EPS_EST",AX$7,$F$2,"Options:Curr="&amp;$F$3&amp;", NA=--"))</f>
        <v/>
      </c>
      <c r="AY33" s="13" t="str" cm="1">
        <f t="array" ref="AY33">IF($B33="","",_xll.SNL.Clients.Office.Excel.Functions.SPG($B33,"SP_EPS_EST",AY$7,$F$2,"Options:Curr="&amp;$F$3&amp;", NA=--"))</f>
        <v/>
      </c>
      <c r="AZ33" s="13" t="str" cm="1">
        <f t="array" ref="AZ33">IF($B33="","",_xll.SNL.Clients.Office.Excel.Functions.SPG($B33,"SP_EPS_EST",AZ$7,$F$2,"Options:Curr="&amp;$F$3&amp;", NA=--"))</f>
        <v/>
      </c>
      <c r="BB33" s="13" t="str" cm="1">
        <f t="array" ref="BB33">IF($B33="","",_xll.SNL.Clients.Office.Excel.Functions.SPG($B33,"SP_CFPS_EST",BB$7,$F$2,"Options:Curr="&amp;$F$3&amp;", NA=--"))</f>
        <v/>
      </c>
      <c r="BC33" s="13" t="str" cm="1">
        <f t="array" ref="BC33">IF($B33="","",_xll.SNL.Clients.Office.Excel.Functions.SPG($B33,"SP_CFPS_EST",BC$7,$F$2,"Options:Curr="&amp;$F$3&amp;", NA=--"))</f>
        <v/>
      </c>
      <c r="BD33" s="13" t="str" cm="1">
        <f t="array" ref="BD33">IF($B33="","",_xll.SNL.Clients.Office.Excel.Functions.SPG($B33,"SP_CFPS_EST",BD$7,$F$2,"Options:Curr="&amp;$F$3&amp;", NA=--"))</f>
        <v/>
      </c>
      <c r="BF33" s="66" t="str" cm="1">
        <f t="array" ref="BF33">IF($B33="","",_xll.SNL.Clients.Office.Excel.Functions.SPG($B33,"SP_DIV_YIELD",WORKDAY($F$2+1,-1),"Options: NA=--"))</f>
        <v/>
      </c>
      <c r="BG33" s="19" t="str" cm="1">
        <f t="array" ref="BG33">IF($B33="","",_xll.SNL.Clients.Office.Excel.Functions.SPG($B33,"IQ_TOTAL_EQUITY","FQ0",$F$2,"Options:Curr="&amp;$F$3&amp;", Mag=Millions, NA=--"))</f>
        <v/>
      </c>
      <c r="BH33" s="19" t="str" cm="1">
        <f t="array" ref="BH33">IF($B33="","",_xll.SNL.Clients.Office.Excel.Functions.SPG($B33,"IQ_TOTAL_DEBT","FQ0",$F$2,"Options:Curr="&amp;$F$3&amp;", Mag=Millions, NA=--"))</f>
        <v/>
      </c>
      <c r="BI33" s="19" t="str" cm="1">
        <f t="array" ref="BI33">IF($B33="","",_xll.SNL.Clients.Office.Excel.Functions.SPG($B33,"IQ_CASH_ST_INVEST","FQ0",$F$2,"Options:Curr="&amp;$F$3&amp;", Mag=Millions, NA=--"))</f>
        <v/>
      </c>
      <c r="BJ33" s="37" t="e">
        <f t="shared" si="47"/>
        <v>#VALUE!</v>
      </c>
      <c r="BK33" s="19" t="str" cm="1">
        <f t="array" ref="BK33">IF($B33="","",_xll.SNL.Clients.Office.Excel.Functions.SPG($B33,"IQ_TOTAL_EQUITY","FQ0",$F$2,"Options:Curr="&amp;$F$3&amp;", Mag=Millions, NA=--"))</f>
        <v/>
      </c>
      <c r="BM33" s="20" t="str">
        <f t="shared" ref="BM33:BM34" si="52">IFERROR($AO33*$BR33,"n/a")</f>
        <v>n/a</v>
      </c>
      <c r="BN33" s="20" t="str">
        <f>IFERROR($AP33*BS33,"n/a")</f>
        <v>n/a</v>
      </c>
      <c r="BO33" s="20" t="str">
        <f>IFERROR($AQ33*$BT33,"n/a")</f>
        <v>n/a</v>
      </c>
      <c r="BQ33" s="44" t="str">
        <f>IF($B33="","",IFERROR(_xll.SNL.Clients.Office.Excel.Functions.SPG($B33,"SP_GROSS_MARGIN",BQ$7,$F$2,"Options: NA=--")/100,"--"))</f>
        <v/>
      </c>
      <c r="BR33" s="44" t="str">
        <f>IF($B33="","",IFERROR(_xll.SNL.Clients.Office.Excel.Functions.SPG($B33,"SP_GROSS_MARGIN_EST",BR$7,$F$2,"Options: NA=--")/100,"--"))</f>
        <v/>
      </c>
      <c r="BS33" s="44" t="str">
        <f>IF($B33="","",IFERROR(_xll.SNL.Clients.Office.Excel.Functions.SPG($B33,"SP_GROSS_MARGIN_EST",BS$7,$F$2,"Options: NA=--")/100,"--"))</f>
        <v/>
      </c>
      <c r="BT33" s="44" t="str">
        <f>IF($B33="","",IFERROR(_xll.SNL.Clients.Office.Excel.Functions.SPG($B33,"SP_GROSS_MARGIN_EST",BT$7,$F$2,"Options: NA=--")/100,"--"))</f>
        <v/>
      </c>
      <c r="BU33" s="45"/>
      <c r="BV33" s="47" t="str" cm="1">
        <f t="array" ref="BV33">IF($B33="","",_xll.SNL.Clients.Office.Excel.Functions.SPG($B33,"SP_GROSS_MARGIN_NUM_EST",BV$7,$F$2,"Options: NA=--"))</f>
        <v/>
      </c>
      <c r="BW33" s="47" t="str" cm="1">
        <f t="array" ref="BW33">IF($B33="","",_xll.SNL.Clients.Office.Excel.Functions.SPG($B33,"SP_GROSS_MARGIN_NUM_EST",BW$7,$F$2,"Options: NA=--"))</f>
        <v/>
      </c>
      <c r="BX33" s="47" t="str" cm="1">
        <f t="array" ref="BX33">IF($B33="","",_xll.SNL.Clients.Office.Excel.Functions.SPG($B33,"SP_GROSS_MARGIN_NUM_EST",BX$7,$F$2,"Options: NA=--"))</f>
        <v/>
      </c>
      <c r="BZ33" s="62" t="str">
        <f>IFERROR(IF(CD33/AO33&lt;0,"nmf ",CD33/AO33),"n/a ")</f>
        <v xml:space="preserve">n/a </v>
      </c>
      <c r="CA33" s="62" t="str">
        <f>IFERROR(IF(CE33/AP33&lt;0,"nmf ",CE33/AP33),"n/a ")</f>
        <v xml:space="preserve">n/a </v>
      </c>
      <c r="CB33" s="62" t="str">
        <f>IFERROR(IF(CF33/AQ33&lt;0,"nmf ",CF33/AQ33),"n/a ")</f>
        <v xml:space="preserve">n/a </v>
      </c>
      <c r="CD33" s="20" t="str">
        <f>IFERROR(BR33*AO33,"--")</f>
        <v>--</v>
      </c>
      <c r="CE33" s="20" t="str">
        <f>IFERROR(BS33*AP33,"--")</f>
        <v>--</v>
      </c>
      <c r="CF33" s="20" t="str">
        <f>IFERROR(BT33*AQ33,"--")</f>
        <v>--</v>
      </c>
    </row>
    <row r="34" spans="2:84" s="10" customFormat="1" ht="16.350000000000001" customHeight="1" x14ac:dyDescent="0.25">
      <c r="B34" s="34"/>
      <c r="D34" s="10" t="str" cm="1">
        <f t="array" ref="D34">IF($B34="","",_xll.SNL.Clients.Office.Excel.Functions.SPG($B34, "SP_COMPANY_NAME"))</f>
        <v/>
      </c>
      <c r="G34" s="21" t="str" cm="1">
        <f t="array" ref="G34">IF($B34="","",_xll.SNL.Clients.Office.Excel.Functions.SPG($B34,"SP_LASTSALEPRICE",WORKDAY($F$2+1,-1),"Options:Curr="&amp;I34&amp;",NA=--"))</f>
        <v/>
      </c>
      <c r="H34" s="13" t="str" cm="1">
        <f t="array" ref="H34">IF($B34="","",_xll.SNL.Clients.Office.Excel.Functions.SPG($B34,"SP_PRICE_CLOSE",WORKDAY($F$2+1,-1),"Options:Curr="&amp;$F$3&amp;", NA=--"))</f>
        <v/>
      </c>
      <c r="I34" s="40" t="str" cm="1">
        <f t="array" ref="I34">IF($B34="","",_xll.SNL.Clients.Office.Excel.Functions.SPG($B34,"SP_TRADING_CURRENCY","Options: NA=--"))</f>
        <v/>
      </c>
      <c r="J34" s="15" t="str" cm="1">
        <f t="array" ref="J34">IF($B34="","",_xll.SNL.Clients.Office.Excel.Functions.SPG($B34,"SP_MARKETCAP",WORKDAY($F$2+1,-1),"Options:Curr="&amp;$F$3&amp;", Mag=Millions, NA=--"))</f>
        <v/>
      </c>
      <c r="K34" s="15" t="str" cm="1">
        <f t="array" ref="K34">IF($B34="","",_xll.SNL.Clients.Office.Excel.Functions.SPG($B34,"IQ_TEV",WORKDAY($F$2+1,-1),"Options:Curr="&amp;$F$3&amp;", Mag=Millions, NA=--"))</f>
        <v/>
      </c>
      <c r="L34" s="16" t="str">
        <f>IFERROR(IF(OR($K34/AN34&gt;L$4,$K34/AN34&lt;L$3),"nmf ",$K34/AN34),"n/a ")</f>
        <v xml:space="preserve">n/a </v>
      </c>
      <c r="M34" s="16" t="str">
        <f>IFERROR(IF(OR($K34/AO34&gt;M$4,$K34/AO34&lt;M$3),"nmf ",$K34/AO34),"n/a ")</f>
        <v xml:space="preserve">n/a </v>
      </c>
      <c r="N34" s="16" t="str">
        <f>IFERROR(IF(OR($K34/AP34&gt;N$4,$K34/AP34&lt;N$3),"nmf ",$K34/AP34),"n/a ")</f>
        <v xml:space="preserve">n/a </v>
      </c>
      <c r="O34" s="16" t="str">
        <f>IFERROR(IF(OR($K34/AQ34&gt;O$4,$K34/AQ34&lt;O$3),"nmf ",$K34/AQ34),"n/a ")</f>
        <v xml:space="preserve">n/a </v>
      </c>
      <c r="P34" s="16" t="str">
        <f>IFERROR(IF(OR($K34/AS34&gt;P$4,$K34/AS34&lt;P$3),"nmf ",$K34/AS34),"n/a ")</f>
        <v xml:space="preserve">n/a </v>
      </c>
      <c r="Q34" s="16" t="str">
        <f>IFERROR(IF(OR($K34/AT34&gt;Q$4,$K34/AT34&lt;Q$3),"nmf ",$K34/AT34),"n/a ")</f>
        <v xml:space="preserve">n/a </v>
      </c>
      <c r="R34" s="16" t="str">
        <f>IFERROR(IF(OR($K34/AU34&gt;R$4,$K34/AU34&lt;R$3),"nmf ",$K34/AU34),"n/a ")</f>
        <v xml:space="preserve">n/a </v>
      </c>
      <c r="S34" s="16" t="str">
        <f>IFERROR(IF(OR($K34/AV34&gt;S$4,$K34/AV34&lt;S$3),"nmf ",$K34/AV34),"n/a ")</f>
        <v xml:space="preserve">n/a </v>
      </c>
      <c r="T34" s="33" t="str">
        <f t="shared" si="41"/>
        <v xml:space="preserve">n/a </v>
      </c>
      <c r="U34" s="33" t="str">
        <f t="shared" si="42"/>
        <v xml:space="preserve">n/a </v>
      </c>
      <c r="V34" s="16" t="str">
        <f>IFERROR($H34/AX34,"n/a ")</f>
        <v xml:space="preserve">n/a </v>
      </c>
      <c r="W34" s="16" t="str">
        <f>IFERROR($H34/AY34,"n/a ")</f>
        <v xml:space="preserve">n/a </v>
      </c>
      <c r="X34" s="16" t="str">
        <f>IFERROR($H34/AZ34,"n/a ")</f>
        <v xml:space="preserve">n/a </v>
      </c>
      <c r="Y34" s="16" t="str">
        <f>IFERROR($H34/BB34,"n/a ")</f>
        <v xml:space="preserve">n/a </v>
      </c>
      <c r="Z34" s="16" t="str">
        <f>IFERROR($H34/BC34,"n/a ")</f>
        <v xml:space="preserve">n/a </v>
      </c>
      <c r="AA34" s="16" t="str">
        <f>IFERROR($H34/BD34,"n/a ")</f>
        <v xml:space="preserve">n/a </v>
      </c>
      <c r="AB34" s="33" t="str">
        <f t="shared" si="48"/>
        <v/>
      </c>
      <c r="AC34" s="33" t="str">
        <f t="shared" si="48"/>
        <v/>
      </c>
      <c r="AD34" s="33" t="str">
        <f t="shared" si="43"/>
        <v/>
      </c>
      <c r="AE34" s="33" t="str">
        <f t="shared" si="44"/>
        <v/>
      </c>
      <c r="AF34" s="33" t="str">
        <f t="shared" si="49"/>
        <v xml:space="preserve">n/a </v>
      </c>
      <c r="AG34" s="33" t="str">
        <f t="shared" si="49"/>
        <v xml:space="preserve">n/a </v>
      </c>
      <c r="AH34" s="33" t="str">
        <f t="shared" si="45"/>
        <v xml:space="preserve">n/a </v>
      </c>
      <c r="AI34" s="33" t="str">
        <f t="shared" si="46"/>
        <v xml:space="preserve">n/a </v>
      </c>
      <c r="AJ34" s="83" t="str">
        <f t="shared" si="50"/>
        <v xml:space="preserve">n/a </v>
      </c>
      <c r="AK34" s="83" t="str">
        <f t="shared" si="51"/>
        <v xml:space="preserve">n/a </v>
      </c>
      <c r="AL34" s="72"/>
      <c r="AN34" s="20" t="str" cm="1">
        <f t="array" ref="AN34">IF($B34="","",_xll.SNL.Clients.Office.Excel.Functions.SPG($B34,"IQ_REV",AN$7,$F$2,"Options:Curr="&amp;$F$3&amp;", Mag=Millions, NA=--"))</f>
        <v/>
      </c>
      <c r="AO34" s="20" t="str" cm="1">
        <f t="array" ref="AO34">IF($B34="","",_xll.SNL.Clients.Office.Excel.Functions.SPG($B34,"SP_REV_EST",AO$7,$F$2,"Options:Curr="&amp;$F$3&amp;", Mag=Millions, NA=--"))</f>
        <v/>
      </c>
      <c r="AP34" s="20" t="str" cm="1">
        <f t="array" ref="AP34">IF($B34="","",_xll.SNL.Clients.Office.Excel.Functions.SPG($B34,"SP_REV_EST",AP$7,$F$2,"Options:Curr="&amp;$F$3&amp;", Mag=Millions, NA=--"))</f>
        <v/>
      </c>
      <c r="AQ34" s="20" t="str" cm="1">
        <f t="array" ref="AQ34">IF($B34="","",_xll.SNL.Clients.Office.Excel.Functions.SPG($B34,"SP_REV_EST",AQ$7,$F$2,"Options:Curr="&amp;$F$3&amp;", Mag=Millions, NA=--"))</f>
        <v/>
      </c>
      <c r="AS34" s="20" t="str" cm="1">
        <f t="array" ref="AS34">IF($B34="","",_xll.SNL.Clients.Office.Excel.Functions.SPG($B34,"SP_EBITDA",AS$7,$F$2,"Options:Curr="&amp;$F$3&amp;", Mag=Millions, NA=--"))</f>
        <v/>
      </c>
      <c r="AT34" s="20" t="str" cm="1">
        <f t="array" ref="AT34">IF($B34="","",_xll.SNL.Clients.Office.Excel.Functions.SPG($B34,"SP_EBITDA_EST",AT$7,$F$2,"Options:Curr="&amp;$F$3&amp;", Mag=Millions, NA=--"))</f>
        <v/>
      </c>
      <c r="AU34" s="20" t="str" cm="1">
        <f t="array" ref="AU34">IF($B34="","",_xll.SNL.Clients.Office.Excel.Functions.SPG($B34,"SP_EBITDA_EST",AU$7,$F$2,"Options:Curr="&amp;$F$3&amp;", Mag=Millions, NA=--"))</f>
        <v/>
      </c>
      <c r="AV34" s="20" t="str" cm="1">
        <f t="array" ref="AV34">IF($B34="","",_xll.SNL.Clients.Office.Excel.Functions.SPG($B34,"SP_EBITDA_EST",AV$7,$F$2,"Options:Curr="&amp;$F$3&amp;", Mag=Millions, NA=--"))</f>
        <v/>
      </c>
      <c r="AX34" s="13" t="str" cm="1">
        <f t="array" ref="AX34">IF($B34="","",_xll.SNL.Clients.Office.Excel.Functions.SPG($B34,"SP_EPS_EST",AX$7,$F$2,"Options:Curr="&amp;$F$3&amp;", NA=--"))</f>
        <v/>
      </c>
      <c r="AY34" s="13" t="str" cm="1">
        <f t="array" ref="AY34">IF($B34="","",_xll.SNL.Clients.Office.Excel.Functions.SPG($B34,"SP_EPS_EST",AY$7,$F$2,"Options:Curr="&amp;$F$3&amp;", NA=--"))</f>
        <v/>
      </c>
      <c r="AZ34" s="13" t="str" cm="1">
        <f t="array" ref="AZ34">IF($B34="","",_xll.SNL.Clients.Office.Excel.Functions.SPG($B34,"SP_EPS_EST",AZ$7,$F$2,"Options:Curr="&amp;$F$3&amp;", NA=--"))</f>
        <v/>
      </c>
      <c r="BB34" s="13" t="str" cm="1">
        <f t="array" ref="BB34">IF($B34="","",_xll.SNL.Clients.Office.Excel.Functions.SPG($B34,"SP_CFPS_EST",BB$7,$F$2,"Options:Curr="&amp;$F$3&amp;", NA=--"))</f>
        <v/>
      </c>
      <c r="BC34" s="13" t="str" cm="1">
        <f t="array" ref="BC34">IF($B34="","",_xll.SNL.Clients.Office.Excel.Functions.SPG($B34,"SP_CFPS_EST",BC$7,$F$2,"Options:Curr="&amp;$F$3&amp;", NA=--"))</f>
        <v/>
      </c>
      <c r="BD34" s="13" t="str" cm="1">
        <f t="array" ref="BD34">IF($B34="","",_xll.SNL.Clients.Office.Excel.Functions.SPG($B34,"SP_CFPS_EST",BD$7,$F$2,"Options:Curr="&amp;$F$3&amp;", NA=--"))</f>
        <v/>
      </c>
      <c r="BF34" s="66" t="str" cm="1">
        <f t="array" ref="BF34">IF($B34="","",_xll.SNL.Clients.Office.Excel.Functions.SPG($B34,"SP_DIV_YIELD",WORKDAY($F$2+1,-1),"Options: NA=--"))</f>
        <v/>
      </c>
      <c r="BG34" s="19" t="str" cm="1">
        <f t="array" ref="BG34">IF($B34="","",_xll.SNL.Clients.Office.Excel.Functions.SPG($B34,"IQ_TOTAL_EQUITY","FQ0",$F$2,"Options:Curr="&amp;$F$3&amp;", Mag=Millions, NA=--"))</f>
        <v/>
      </c>
      <c r="BH34" s="19" t="str" cm="1">
        <f t="array" ref="BH34">IF($B34="","",_xll.SNL.Clients.Office.Excel.Functions.SPG($B34,"IQ_TOTAL_DEBT","FQ0",$F$2,"Options:Curr="&amp;$F$3&amp;", Mag=Millions, NA=--"))</f>
        <v/>
      </c>
      <c r="BI34" s="19" t="str" cm="1">
        <f t="array" ref="BI34">IF($B34="","",_xll.SNL.Clients.Office.Excel.Functions.SPG($B34,"IQ_CASH_ST_INVEST","FQ0",$F$2,"Options:Curr="&amp;$F$3&amp;", Mag=Millions, NA=--"))</f>
        <v/>
      </c>
      <c r="BJ34" s="37" t="e">
        <f t="shared" si="47"/>
        <v>#VALUE!</v>
      </c>
      <c r="BK34" s="19" t="str" cm="1">
        <f t="array" ref="BK34">IF($B34="","",_xll.SNL.Clients.Office.Excel.Functions.SPG($B34,"IQ_TOTAL_EQUITY","FQ0",$F$2,"Options:Curr="&amp;$F$3&amp;", Mag=Millions, NA=--"))</f>
        <v/>
      </c>
      <c r="BM34" s="20" t="str">
        <f t="shared" si="52"/>
        <v>n/a</v>
      </c>
      <c r="BN34" s="20" t="str">
        <f>IFERROR($AP34*BS34,"n/a")</f>
        <v>n/a</v>
      </c>
      <c r="BO34" s="20" t="str">
        <f>IFERROR($AQ34*$BT34,"n/a")</f>
        <v>n/a</v>
      </c>
      <c r="BQ34" s="44" t="str">
        <f>IF($B34="","",IFERROR(_xll.SNL.Clients.Office.Excel.Functions.SPG($B34,"SP_GROSS_MARGIN",BQ$7,$F$2,"Options: NA=--")/100,"--"))</f>
        <v/>
      </c>
      <c r="BR34" s="44" t="str">
        <f>IF($B34="","",IFERROR(_xll.SNL.Clients.Office.Excel.Functions.SPG($B34,"SP_GROSS_MARGIN_EST",BR$7,$F$2,"Options: NA=--")/100,"--"))</f>
        <v/>
      </c>
      <c r="BS34" s="44" t="str">
        <f>IF($B34="","",IFERROR(_xll.SNL.Clients.Office.Excel.Functions.SPG($B34,"SP_GROSS_MARGIN_EST",BS$7,$F$2,"Options: NA=--")/100,"--"))</f>
        <v/>
      </c>
      <c r="BT34" s="44" t="str">
        <f>IF($B34="","",IFERROR(_xll.SNL.Clients.Office.Excel.Functions.SPG($B34,"SP_GROSS_MARGIN_EST",BT$7,$F$2,"Options: NA=--")/100,"--"))</f>
        <v/>
      </c>
      <c r="BU34" s="45"/>
      <c r="BV34" s="47" t="str" cm="1">
        <f t="array" ref="BV34">IF($B34="","",_xll.SNL.Clients.Office.Excel.Functions.SPG($B34,"SP_GROSS_MARGIN_NUM_EST",BV$7,$F$2,"Options: NA=--"))</f>
        <v/>
      </c>
      <c r="BW34" s="47" t="str" cm="1">
        <f t="array" ref="BW34">IF($B34="","",_xll.SNL.Clients.Office.Excel.Functions.SPG($B34,"SP_GROSS_MARGIN_NUM_EST",BW$7,$F$2,"Options: NA=--"))</f>
        <v/>
      </c>
      <c r="BX34" s="47" t="str" cm="1">
        <f t="array" ref="BX34">IF($B34="","",_xll.SNL.Clients.Office.Excel.Functions.SPG($B34,"SP_GROSS_MARGIN_NUM_EST",BX$7,$F$2,"Options: NA=--"))</f>
        <v/>
      </c>
      <c r="BZ34" s="62" t="str">
        <f>IFERROR(IF(CD34/AO34&lt;0,"nmf ",CD34/AO34),"n/a ")</f>
        <v xml:space="preserve">n/a </v>
      </c>
      <c r="CA34" s="62" t="str">
        <f>IFERROR(IF(CE34/AP34&lt;0,"nmf ",CE34/AP34),"n/a ")</f>
        <v xml:space="preserve">n/a </v>
      </c>
      <c r="CB34" s="62" t="str">
        <f>IFERROR(IF(CF34/AQ34&lt;0,"nmf ",CF34/AQ34),"n/a ")</f>
        <v xml:space="preserve">n/a </v>
      </c>
      <c r="CD34" s="20" t="str">
        <f>IFERROR(BR34*AO34,"--")</f>
        <v>--</v>
      </c>
      <c r="CE34" s="20" t="str">
        <f>IFERROR(BS34*AP34,"--")</f>
        <v>--</v>
      </c>
      <c r="CF34" s="20" t="str">
        <f>IFERROR(BT34*AQ34,"--")</f>
        <v>--</v>
      </c>
    </row>
    <row r="35" spans="2:84" s="10" customFormat="1" ht="16.350000000000001" customHeight="1" x14ac:dyDescent="0.25">
      <c r="B35" s="34"/>
      <c r="D35" s="10" t="str" cm="1">
        <f t="array" ref="D35">IF($B35="","",_xll.SNL.Clients.Office.Excel.Functions.SPG($B35, "SP_COMPANY_NAME"))</f>
        <v/>
      </c>
      <c r="G35" s="21" t="str" cm="1">
        <f t="array" ref="G35">IF($B35="","",_xll.SNL.Clients.Office.Excel.Functions.SPG($B35,"SP_LASTSALEPRICE",WORKDAY($F$2+1,-1),"Options:Curr="&amp;I35&amp;",NA=--"))</f>
        <v/>
      </c>
      <c r="H35" s="13" t="str" cm="1">
        <f t="array" ref="H35">IF($B35="","",_xll.SNL.Clients.Office.Excel.Functions.SPG($B35,"SP_PRICE_CLOSE",WORKDAY($F$2+1,-1),"Options:Curr="&amp;$F$3&amp;", NA=--"))</f>
        <v/>
      </c>
      <c r="I35" s="40" t="str" cm="1">
        <f t="array" ref="I35">IF($B35="","",_xll.SNL.Clients.Office.Excel.Functions.SPG($B35,"SP_TRADING_CURRENCY","Options: NA=--"))</f>
        <v/>
      </c>
      <c r="J35" s="15" t="str" cm="1">
        <f t="array" ref="J35">IF($B35="","",_xll.SNL.Clients.Office.Excel.Functions.SPG($B35,"SP_MARKETCAP",WORKDAY($F$2+1,-1),"Options:Curr="&amp;$F$3&amp;", Mag=Millions, NA=--"))</f>
        <v/>
      </c>
      <c r="K35" s="15" t="str" cm="1">
        <f t="array" ref="K35">IF($B35="","",_xll.SNL.Clients.Office.Excel.Functions.SPG($B35,"IQ_TEV",WORKDAY($F$2+1,-1),"Options:Curr="&amp;$F$3&amp;", Mag=Millions, NA=--"))</f>
        <v/>
      </c>
      <c r="L35" s="16" t="str">
        <f>IFERROR(IF(OR($K35/AN35&gt;L$4,$K35/AN35&lt;L$3),"nmf ",$K35/AN35),"n/a ")</f>
        <v xml:space="preserve">n/a </v>
      </c>
      <c r="M35" s="16" t="str">
        <f>IFERROR(IF(OR($K35/AO35&gt;M$4,$K35/AO35&lt;M$3),"nmf ",$K35/AO35),"n/a ")</f>
        <v xml:space="preserve">n/a </v>
      </c>
      <c r="N35" s="16" t="str">
        <f>IFERROR(IF(OR($K35/AP35&gt;N$4,$K35/AP35&lt;N$3),"nmf ",$K35/AP35),"n/a ")</f>
        <v xml:space="preserve">n/a </v>
      </c>
      <c r="O35" s="16" t="str">
        <f>IFERROR(IF(OR($K35/AQ35&gt;O$4,$K35/AQ35&lt;O$3),"nmf ",$K35/AQ35),"n/a ")</f>
        <v xml:space="preserve">n/a </v>
      </c>
      <c r="P35" s="16" t="str">
        <f>IFERROR(IF(OR($K35/AS35&gt;P$4,$K35/AS35&lt;P$3),"nmf ",$K35/AS35),"n/a ")</f>
        <v xml:space="preserve">n/a </v>
      </c>
      <c r="Q35" s="16" t="str">
        <f>IFERROR(IF(OR($K35/AT35&gt;Q$4,$K35/AT35&lt;Q$3),"nmf ",$K35/AT35),"n/a ")</f>
        <v xml:space="preserve">n/a </v>
      </c>
      <c r="R35" s="16" t="str">
        <f>IFERROR(IF(OR($K35/AU35&gt;R$4,$K35/AU35&lt;R$3),"nmf ",$K35/AU35),"n/a ")</f>
        <v xml:space="preserve">n/a </v>
      </c>
      <c r="S35" s="16" t="str">
        <f>IFERROR(IF(OR($K35/AV35&gt;S$4,$K35/AV35&lt;S$3),"nmf ",$K35/AV35),"n/a ")</f>
        <v xml:space="preserve">n/a </v>
      </c>
      <c r="T35" s="33" t="str">
        <f t="shared" si="41"/>
        <v xml:space="preserve">n/a </v>
      </c>
      <c r="U35" s="33" t="str">
        <f t="shared" si="42"/>
        <v xml:space="preserve">n/a </v>
      </c>
      <c r="V35" s="16" t="str">
        <f>IFERROR($H35/AX35,"n/a ")</f>
        <v xml:space="preserve">n/a </v>
      </c>
      <c r="W35" s="16" t="str">
        <f>IFERROR($H35/AY35,"n/a ")</f>
        <v xml:space="preserve">n/a </v>
      </c>
      <c r="X35" s="16" t="str">
        <f>IFERROR($H35/AZ35,"n/a ")</f>
        <v xml:space="preserve">n/a </v>
      </c>
      <c r="Y35" s="16" t="str">
        <f>IFERROR($H35/BB35,"n/a ")</f>
        <v xml:space="preserve">n/a </v>
      </c>
      <c r="Z35" s="16" t="str">
        <f>IFERROR($H35/BC35,"n/a ")</f>
        <v xml:space="preserve">n/a </v>
      </c>
      <c r="AA35" s="16" t="str">
        <f>IFERROR($H35/BD35,"n/a ")</f>
        <v xml:space="preserve">n/a </v>
      </c>
      <c r="AB35" s="33" t="str">
        <f t="shared" si="48"/>
        <v/>
      </c>
      <c r="AC35" s="33" t="str">
        <f t="shared" si="48"/>
        <v/>
      </c>
      <c r="AD35" s="33" t="str">
        <f t="shared" si="43"/>
        <v/>
      </c>
      <c r="AE35" s="33" t="str">
        <f t="shared" si="44"/>
        <v/>
      </c>
      <c r="AF35" s="33" t="str">
        <f t="shared" si="49"/>
        <v xml:space="preserve">n/a </v>
      </c>
      <c r="AG35" s="33" t="str">
        <f t="shared" si="49"/>
        <v xml:space="preserve">n/a </v>
      </c>
      <c r="AH35" s="33" t="str">
        <f t="shared" si="45"/>
        <v xml:space="preserve">n/a </v>
      </c>
      <c r="AI35" s="33" t="str">
        <f t="shared" si="46"/>
        <v xml:space="preserve">n/a </v>
      </c>
      <c r="AJ35" s="83" t="str">
        <f t="shared" si="50"/>
        <v xml:space="preserve">n/a </v>
      </c>
      <c r="AK35" s="83" t="str">
        <f t="shared" si="51"/>
        <v xml:space="preserve">n/a </v>
      </c>
      <c r="AL35" s="72"/>
      <c r="AN35" s="20" t="str" cm="1">
        <f t="array" ref="AN35">IF($B35="","",_xll.SNL.Clients.Office.Excel.Functions.SPG($B35,"IQ_REV",AN$7,$F$2,"Options:Curr="&amp;$F$3&amp;", Mag=Millions, NA=--"))</f>
        <v/>
      </c>
      <c r="AO35" s="20" t="str" cm="1">
        <f t="array" ref="AO35">IF($B35="","",_xll.SNL.Clients.Office.Excel.Functions.SPG($B35,"SP_REV_EST",AO$7,$F$2,"Options:Curr="&amp;$F$3&amp;", Mag=Millions, NA=--"))</f>
        <v/>
      </c>
      <c r="AP35" s="20" t="str" cm="1">
        <f t="array" ref="AP35">IF($B35="","",_xll.SNL.Clients.Office.Excel.Functions.SPG($B35,"SP_REV_EST",AP$7,$F$2,"Options:Curr="&amp;$F$3&amp;", Mag=Millions, NA=--"))</f>
        <v/>
      </c>
      <c r="AQ35" s="20" t="str" cm="1">
        <f t="array" ref="AQ35">IF($B35="","",_xll.SNL.Clients.Office.Excel.Functions.SPG($B35,"SP_REV_EST",AQ$7,$F$2,"Options:Curr="&amp;$F$3&amp;", Mag=Millions, NA=--"))</f>
        <v/>
      </c>
      <c r="AS35" s="20" t="str" cm="1">
        <f t="array" ref="AS35">IF($B35="","",_xll.SNL.Clients.Office.Excel.Functions.SPG($B35,"SP_EBITDA",AS$7,$F$2,"Options:Curr="&amp;$F$3&amp;", Mag=Millions, NA=--"))</f>
        <v/>
      </c>
      <c r="AT35" s="20" t="str" cm="1">
        <f t="array" ref="AT35">IF($B35="","",_xll.SNL.Clients.Office.Excel.Functions.SPG($B35,"SP_EBITDA_EST",AT$7,$F$2,"Options:Curr="&amp;$F$3&amp;", Mag=Millions, NA=--"))</f>
        <v/>
      </c>
      <c r="AU35" s="20" t="str" cm="1">
        <f t="array" ref="AU35">IF($B35="","",_xll.SNL.Clients.Office.Excel.Functions.SPG($B35,"SP_EBITDA_EST",AU$7,$F$2,"Options:Curr="&amp;$F$3&amp;", Mag=Millions, NA=--"))</f>
        <v/>
      </c>
      <c r="AV35" s="20" t="str" cm="1">
        <f t="array" ref="AV35">IF($B35="","",_xll.SNL.Clients.Office.Excel.Functions.SPG($B35,"SP_EBITDA_EST",AV$7,$F$2,"Options:Curr="&amp;$F$3&amp;", Mag=Millions, NA=--"))</f>
        <v/>
      </c>
      <c r="AX35" s="13" t="str" cm="1">
        <f t="array" ref="AX35">IF($B35="","",_xll.SNL.Clients.Office.Excel.Functions.SPG($B35,"SP_EPS_EST",AX$7,$F$2,"Options:Curr="&amp;$F$3&amp;", NA=--"))</f>
        <v/>
      </c>
      <c r="AY35" s="13" t="str" cm="1">
        <f t="array" ref="AY35">IF($B35="","",_xll.SNL.Clients.Office.Excel.Functions.SPG($B35,"SP_EPS_EST",AY$7,$F$2,"Options:Curr="&amp;$F$3&amp;", NA=--"))</f>
        <v/>
      </c>
      <c r="AZ35" s="13" t="str" cm="1">
        <f t="array" ref="AZ35">IF($B35="","",_xll.SNL.Clients.Office.Excel.Functions.SPG($B35,"SP_EPS_EST",AZ$7,$F$2,"Options:Curr="&amp;$F$3&amp;", NA=--"))</f>
        <v/>
      </c>
      <c r="BB35" s="13" t="str" cm="1">
        <f t="array" ref="BB35">IF($B35="","",_xll.SNL.Clients.Office.Excel.Functions.SPG($B35,"SP_CFPS_EST",BB$7,$F$2,"Options:Curr="&amp;$F$3&amp;", NA=--"))</f>
        <v/>
      </c>
      <c r="BC35" s="13" t="str" cm="1">
        <f t="array" ref="BC35">IF($B35="","",_xll.SNL.Clients.Office.Excel.Functions.SPG($B35,"SP_CFPS_EST",BC$7,$F$2,"Options:Curr="&amp;$F$3&amp;", NA=--"))</f>
        <v/>
      </c>
      <c r="BD35" s="13" t="str" cm="1">
        <f t="array" ref="BD35">IF($B35="","",_xll.SNL.Clients.Office.Excel.Functions.SPG($B35,"SP_CFPS_EST",BD$7,$F$2,"Options:Curr="&amp;$F$3&amp;", NA=--"))</f>
        <v/>
      </c>
      <c r="BF35" s="66" t="str" cm="1">
        <f t="array" ref="BF35">IF($B35="","",_xll.SNL.Clients.Office.Excel.Functions.SPG($B35,"SP_DIV_YIELD",WORKDAY($F$2+1,-1),"Options: NA=--"))</f>
        <v/>
      </c>
      <c r="BG35" s="19" t="str" cm="1">
        <f t="array" ref="BG35">IF($B35="","",_xll.SNL.Clients.Office.Excel.Functions.SPG($B35,"IQ_TOTAL_EQUITY","FQ0",$F$2,"Options:Curr="&amp;$F$3&amp;", Mag=Millions, NA=--"))</f>
        <v/>
      </c>
      <c r="BH35" s="19" t="str" cm="1">
        <f t="array" ref="BH35">IF($B35="","",_xll.SNL.Clients.Office.Excel.Functions.SPG($B35,"IQ_TOTAL_DEBT","FQ0",$F$2,"Options:Curr="&amp;$F$3&amp;", Mag=Millions, NA=--"))</f>
        <v/>
      </c>
      <c r="BI35" s="19" t="str" cm="1">
        <f t="array" ref="BI35">IF($B35="","",_xll.SNL.Clients.Office.Excel.Functions.SPG($B35,"IQ_CASH_ST_INVEST","FQ0",$F$2,"Options:Curr="&amp;$F$3&amp;", Mag=Millions, NA=--"))</f>
        <v/>
      </c>
      <c r="BJ35" s="37" t="e">
        <f>+BH35-BI35</f>
        <v>#VALUE!</v>
      </c>
      <c r="BK35" s="19" t="str" cm="1">
        <f t="array" ref="BK35">IF($B35="","",_xll.SNL.Clients.Office.Excel.Functions.SPG($B35,"IQ_TOTAL_EQUITY","FQ0",$F$2,"Options:Curr="&amp;$F$3&amp;", Mag=Millions, NA=--"))</f>
        <v/>
      </c>
      <c r="BM35" s="20" t="str">
        <f>IFERROR($AO35*$BR35,"n/a")</f>
        <v>n/a</v>
      </c>
      <c r="BN35" s="20" t="str">
        <f>IFERROR($AP35*BS35,"n/a")</f>
        <v>n/a</v>
      </c>
      <c r="BO35" s="20" t="str">
        <f>IFERROR($AQ35*$BT35,"n/a")</f>
        <v>n/a</v>
      </c>
      <c r="BQ35" s="44" t="str">
        <f>IF($B35="","",IFERROR(_xll.SNL.Clients.Office.Excel.Functions.SPG($B35,"SP_GROSS_MARGIN",BQ$7,$F$2,"Options: NA=--")/100,"--"))</f>
        <v/>
      </c>
      <c r="BR35" s="44" t="str">
        <f>IF($B35="","",IFERROR(_xll.SNL.Clients.Office.Excel.Functions.SPG($B35,"SP_GROSS_MARGIN_EST",BR$7,$F$2,"Options: NA=--")/100,"--"))</f>
        <v/>
      </c>
      <c r="BS35" s="44" t="str">
        <f>IF($B35="","",IFERROR(_xll.SNL.Clients.Office.Excel.Functions.SPG($B35,"SP_GROSS_MARGIN_EST",BS$7,$F$2,"Options: NA=--")/100,"--"))</f>
        <v/>
      </c>
      <c r="BT35" s="44" t="str">
        <f>IF($B35="","",IFERROR(_xll.SNL.Clients.Office.Excel.Functions.SPG($B35,"SP_GROSS_MARGIN_EST",BT$7,$F$2,"Options: NA=--")/100,"--"))</f>
        <v/>
      </c>
      <c r="BU35" s="45"/>
      <c r="BV35" s="47" t="str" cm="1">
        <f t="array" ref="BV35">IF($B35="","",_xll.SNL.Clients.Office.Excel.Functions.SPG($B35,"SP_GROSS_MARGIN_NUM_EST",BV$7,$F$2,"Options: NA=--"))</f>
        <v/>
      </c>
      <c r="BW35" s="47" t="str" cm="1">
        <f t="array" ref="BW35">IF($B35="","",_xll.SNL.Clients.Office.Excel.Functions.SPG($B35,"SP_GROSS_MARGIN_NUM_EST",BW$7,$F$2,"Options: NA=--"))</f>
        <v/>
      </c>
      <c r="BX35" s="47" t="str" cm="1">
        <f t="array" ref="BX35">IF($B35="","",_xll.SNL.Clients.Office.Excel.Functions.SPG($B35,"SP_GROSS_MARGIN_NUM_EST",BX$7,$F$2,"Options: NA=--"))</f>
        <v/>
      </c>
      <c r="BZ35" s="62" t="str">
        <f>IFERROR(IF(CD35/AO35&lt;0,"nmf ",CD35/AO35),"n/a ")</f>
        <v xml:space="preserve">n/a </v>
      </c>
      <c r="CA35" s="62" t="str">
        <f>IFERROR(IF(CE35/AP35&lt;0,"nmf ",CE35/AP35),"n/a ")</f>
        <v xml:space="preserve">n/a </v>
      </c>
      <c r="CB35" s="62" t="str">
        <f>IFERROR(IF(CF35/AQ35&lt;0,"nmf ",CF35/AQ35),"n/a ")</f>
        <v xml:space="preserve">n/a </v>
      </c>
      <c r="CD35" s="20" t="str">
        <f>IFERROR(BR35*AO35,"--")</f>
        <v>--</v>
      </c>
      <c r="CE35" s="20" t="str">
        <f>IFERROR(BS35*AP35,"--")</f>
        <v>--</v>
      </c>
      <c r="CF35" s="20" t="str">
        <f>IFERROR(BT35*AQ35,"--")</f>
        <v>--</v>
      </c>
    </row>
    <row r="36" spans="2:84" s="10" customFormat="1" ht="3" customHeight="1" x14ac:dyDescent="0.25">
      <c r="B36" s="11"/>
      <c r="G36" s="14"/>
      <c r="H36" s="14"/>
      <c r="I36" s="40"/>
      <c r="J36" s="22"/>
      <c r="K36" s="23"/>
      <c r="L36" s="23"/>
      <c r="M36" s="16"/>
      <c r="N36" s="16"/>
      <c r="O36" s="16"/>
      <c r="P36" s="16"/>
      <c r="Q36" s="16"/>
      <c r="R36" s="16"/>
      <c r="S36" s="16"/>
      <c r="T36" s="17"/>
      <c r="U36" s="17"/>
      <c r="V36" s="16"/>
      <c r="W36" s="16"/>
      <c r="X36" s="16"/>
      <c r="Y36" s="16"/>
      <c r="Z36" s="16"/>
      <c r="AA36" s="16"/>
      <c r="AB36" s="17"/>
      <c r="AC36" s="17"/>
      <c r="AD36" s="17"/>
      <c r="AE36" s="17"/>
      <c r="AF36" s="17"/>
      <c r="AG36" s="17"/>
      <c r="AH36" s="17"/>
      <c r="AI36" s="17"/>
      <c r="AJ36" s="17"/>
      <c r="AK36" s="17"/>
      <c r="AL36" s="17"/>
      <c r="AN36" s="19"/>
      <c r="AO36" s="13"/>
      <c r="AP36" s="13"/>
      <c r="AQ36" s="13"/>
      <c r="AT36" s="20"/>
      <c r="AU36" s="20"/>
      <c r="AV36" s="20"/>
      <c r="AX36" s="13"/>
      <c r="AY36" s="13"/>
      <c r="AZ36" s="13"/>
      <c r="BF36" s="19"/>
      <c r="BG36" s="19"/>
      <c r="BH36" s="19"/>
      <c r="BI36" s="19"/>
      <c r="BJ36" s="19"/>
      <c r="BK36" s="19"/>
      <c r="BR36" s="45"/>
      <c r="BS36" s="45"/>
      <c r="BT36" s="45"/>
      <c r="BU36" s="45"/>
      <c r="BV36" s="48"/>
      <c r="BW36" s="48"/>
      <c r="BX36" s="48"/>
      <c r="BZ36" s="45"/>
      <c r="CA36" s="45"/>
      <c r="CB36" s="45"/>
    </row>
    <row r="37" spans="2:84" s="10" customFormat="1" ht="16.350000000000001" customHeight="1" x14ac:dyDescent="0.25">
      <c r="B37" s="9"/>
      <c r="D37" s="24" t="s">
        <v>22</v>
      </c>
      <c r="E37" s="24"/>
      <c r="F37" s="24"/>
      <c r="G37" s="24"/>
      <c r="H37" s="24"/>
      <c r="I37" s="24"/>
      <c r="J37" s="25"/>
      <c r="K37" s="25"/>
      <c r="L37" s="35" t="str">
        <f>IFERROR(AVERAGE(L30:L35),"n/a ")</f>
        <v xml:space="preserve">n/a </v>
      </c>
      <c r="M37" s="35" t="str">
        <f>IFERROR(AVERAGE(M30:M35),"n/a ")</f>
        <v xml:space="preserve">n/a </v>
      </c>
      <c r="N37" s="26" t="str">
        <f>IFERROR(AVERAGE(N30:N35),"n/a ")</f>
        <v xml:space="preserve">n/a </v>
      </c>
      <c r="O37" s="26" t="str">
        <f>IFERROR(AVERAGE(O30:O35),"n/a ")</f>
        <v xml:space="preserve">n/a </v>
      </c>
      <c r="P37" s="26" t="str">
        <f t="shared" ref="P37:AK37" si="53">IFERROR(AVERAGE(P30:P35),"n/a ")</f>
        <v xml:space="preserve">n/a </v>
      </c>
      <c r="Q37" s="26" t="str">
        <f t="shared" si="53"/>
        <v xml:space="preserve">n/a </v>
      </c>
      <c r="R37" s="26" t="str">
        <f t="shared" si="53"/>
        <v xml:space="preserve">n/a </v>
      </c>
      <c r="S37" s="26" t="str">
        <f t="shared" si="53"/>
        <v xml:space="preserve">n/a </v>
      </c>
      <c r="T37" s="36" t="str">
        <f t="shared" si="53"/>
        <v xml:space="preserve">n/a </v>
      </c>
      <c r="U37" s="36" t="str">
        <f t="shared" si="53"/>
        <v xml:space="preserve">n/a </v>
      </c>
      <c r="V37" s="26" t="str">
        <f t="shared" si="53"/>
        <v xml:space="preserve">n/a </v>
      </c>
      <c r="W37" s="26" t="str">
        <f t="shared" si="53"/>
        <v xml:space="preserve">n/a </v>
      </c>
      <c r="X37" s="26" t="str">
        <f t="shared" si="53"/>
        <v xml:space="preserve">n/a </v>
      </c>
      <c r="Y37" s="26" t="str">
        <f t="shared" si="53"/>
        <v xml:space="preserve">n/a </v>
      </c>
      <c r="Z37" s="26" t="str">
        <f t="shared" si="53"/>
        <v xml:space="preserve">n/a </v>
      </c>
      <c r="AA37" s="26" t="str">
        <f t="shared" si="53"/>
        <v xml:space="preserve">n/a </v>
      </c>
      <c r="AB37" s="36" t="str">
        <f t="shared" ref="AB37" si="54">IFERROR(AVERAGE(AB30:AB35),"n/a ")</f>
        <v xml:space="preserve">n/a </v>
      </c>
      <c r="AC37" s="36" t="str">
        <f t="shared" si="53"/>
        <v xml:space="preserve">n/a </v>
      </c>
      <c r="AD37" s="36" t="str">
        <f t="shared" si="53"/>
        <v xml:space="preserve">n/a </v>
      </c>
      <c r="AE37" s="36" t="str">
        <f t="shared" si="53"/>
        <v xml:space="preserve">n/a </v>
      </c>
      <c r="AF37" s="36" t="str">
        <f t="shared" ref="AF37" si="55">IFERROR(AVERAGE(AF30:AF35),"n/a ")</f>
        <v xml:space="preserve">n/a </v>
      </c>
      <c r="AG37" s="36" t="str">
        <f t="shared" si="53"/>
        <v xml:space="preserve">n/a </v>
      </c>
      <c r="AH37" s="36" t="str">
        <f t="shared" si="53"/>
        <v xml:space="preserve">n/a </v>
      </c>
      <c r="AI37" s="36" t="str">
        <f t="shared" si="53"/>
        <v xml:space="preserve">n/a </v>
      </c>
      <c r="AJ37" s="84" t="str">
        <f t="shared" si="53"/>
        <v xml:space="preserve">n/a </v>
      </c>
      <c r="AK37" s="84" t="str">
        <f t="shared" si="53"/>
        <v xml:space="preserve">n/a </v>
      </c>
      <c r="AL37" s="36"/>
      <c r="BR37" s="45"/>
      <c r="BS37" s="45"/>
      <c r="BT37" s="45"/>
      <c r="BU37" s="45"/>
      <c r="BV37" s="48"/>
      <c r="BW37" s="48"/>
      <c r="BX37" s="48"/>
      <c r="BZ37" s="45"/>
      <c r="CA37" s="45"/>
      <c r="CB37" s="45"/>
    </row>
    <row r="38" spans="2:84" s="10" customFormat="1" ht="3" customHeight="1" x14ac:dyDescent="0.25">
      <c r="B38" s="9"/>
      <c r="D38" s="53"/>
      <c r="E38" s="53"/>
      <c r="F38" s="53"/>
      <c r="G38" s="53"/>
      <c r="H38" s="53"/>
      <c r="I38" s="53"/>
      <c r="J38" s="54"/>
      <c r="K38" s="54"/>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BR38" s="45"/>
      <c r="BS38" s="45"/>
      <c r="BT38" s="45"/>
      <c r="BU38" s="45"/>
      <c r="BV38" s="48"/>
      <c r="BW38" s="48"/>
      <c r="BX38" s="48"/>
      <c r="BZ38" s="45"/>
      <c r="CA38" s="45"/>
      <c r="CB38" s="45"/>
    </row>
    <row r="39" spans="2:84" s="30" customFormat="1" ht="16.350000000000001" customHeight="1" x14ac:dyDescent="0.25">
      <c r="B39" s="29"/>
      <c r="D39" s="55" t="s">
        <v>23</v>
      </c>
      <c r="E39" s="55"/>
      <c r="F39" s="55"/>
      <c r="G39" s="55"/>
      <c r="H39" s="55"/>
      <c r="I39" s="55"/>
      <c r="J39" s="55"/>
      <c r="K39" s="55"/>
      <c r="L39" s="56" t="str">
        <f>IFERROR(AVERAGE(L10:L15,L20:L25,L30:L35),"n/a ")</f>
        <v xml:space="preserve">n/a </v>
      </c>
      <c r="M39" s="56" t="str">
        <f t="shared" ref="M39:U39" si="56">IFERROR(AVERAGE(M10:M15,M20:M25,M30:M35),"n/a ")</f>
        <v xml:space="preserve">n/a </v>
      </c>
      <c r="N39" s="56" t="str">
        <f t="shared" si="56"/>
        <v xml:space="preserve">n/a </v>
      </c>
      <c r="O39" s="56" t="str">
        <f t="shared" si="56"/>
        <v xml:space="preserve">n/a </v>
      </c>
      <c r="P39" s="56" t="str">
        <f t="shared" si="56"/>
        <v xml:space="preserve">n/a </v>
      </c>
      <c r="Q39" s="56" t="str">
        <f t="shared" si="56"/>
        <v xml:space="preserve">n/a </v>
      </c>
      <c r="R39" s="56" t="str">
        <f t="shared" si="56"/>
        <v xml:space="preserve">n/a </v>
      </c>
      <c r="S39" s="56" t="str">
        <f t="shared" si="56"/>
        <v xml:space="preserve">n/a </v>
      </c>
      <c r="T39" s="74" t="str">
        <f t="shared" si="56"/>
        <v xml:space="preserve">n/a </v>
      </c>
      <c r="U39" s="74" t="str">
        <f t="shared" si="56"/>
        <v xml:space="preserve">n/a </v>
      </c>
      <c r="V39" s="56" t="str">
        <f t="shared" ref="V39:AK39" si="57">IFERROR(AVERAGE(V10:V15,V20:V25,V30:V35),"n/a ")</f>
        <v xml:space="preserve">n/a </v>
      </c>
      <c r="W39" s="56" t="str">
        <f t="shared" si="57"/>
        <v xml:space="preserve">n/a </v>
      </c>
      <c r="X39" s="56" t="str">
        <f t="shared" si="57"/>
        <v xml:space="preserve">n/a </v>
      </c>
      <c r="Y39" s="56" t="str">
        <f t="shared" si="57"/>
        <v xml:space="preserve">n/a </v>
      </c>
      <c r="Z39" s="56" t="str">
        <f t="shared" si="57"/>
        <v xml:space="preserve">n/a </v>
      </c>
      <c r="AA39" s="56" t="str">
        <f t="shared" si="57"/>
        <v xml:space="preserve">n/a </v>
      </c>
      <c r="AB39" s="57" t="str">
        <f t="shared" si="57"/>
        <v xml:space="preserve">n/a </v>
      </c>
      <c r="AC39" s="57" t="str">
        <f t="shared" si="57"/>
        <v xml:space="preserve">n/a </v>
      </c>
      <c r="AD39" s="57" t="str">
        <f t="shared" si="57"/>
        <v xml:space="preserve">n/a </v>
      </c>
      <c r="AE39" s="57" t="str">
        <f t="shared" si="57"/>
        <v xml:space="preserve">n/a </v>
      </c>
      <c r="AF39" s="57" t="str">
        <f t="shared" ref="AF39" si="58">IFERROR(AVERAGE(AF10:AF15,AF20:AF25,AF30:AF35),"n/a ")</f>
        <v xml:space="preserve">n/a </v>
      </c>
      <c r="AG39" s="57" t="str">
        <f t="shared" si="57"/>
        <v xml:space="preserve">n/a </v>
      </c>
      <c r="AH39" s="57" t="str">
        <f t="shared" si="57"/>
        <v xml:space="preserve">n/a </v>
      </c>
      <c r="AI39" s="57" t="str">
        <f t="shared" si="57"/>
        <v xml:space="preserve">n/a </v>
      </c>
      <c r="AJ39" s="85" t="str">
        <f t="shared" si="57"/>
        <v xml:space="preserve">n/a </v>
      </c>
      <c r="AK39" s="85" t="str">
        <f t="shared" si="57"/>
        <v xml:space="preserve">n/a </v>
      </c>
      <c r="AL39" s="57"/>
      <c r="BR39" s="46"/>
      <c r="BS39" s="46"/>
      <c r="BT39" s="46"/>
      <c r="BU39" s="46"/>
      <c r="BV39" s="49"/>
      <c r="BW39" s="49"/>
      <c r="BX39" s="49"/>
      <c r="BZ39" s="46"/>
      <c r="CA39" s="46"/>
      <c r="CB39" s="46"/>
    </row>
    <row r="40" spans="2:84" s="30" customFormat="1" ht="18" hidden="1" customHeight="1" outlineLevel="1" x14ac:dyDescent="0.25">
      <c r="B40" s="29"/>
      <c r="D40" s="50" t="s">
        <v>40</v>
      </c>
      <c r="E40" s="50"/>
      <c r="F40" s="50"/>
      <c r="G40" s="50"/>
      <c r="H40" s="50"/>
      <c r="I40" s="50"/>
      <c r="J40" s="50"/>
      <c r="K40" s="50"/>
      <c r="L40" s="51">
        <f t="shared" ref="L40:U40" si="59">+IFERROR((SUM(L20:L25,L10:L15)-MAX(L10:L15,L20:L25)-MIN(L10:L15,L20:L25))/(COUNT(L20:L25,L10:L15)-2),"n/a ")</f>
        <v>0</v>
      </c>
      <c r="M40" s="51">
        <f t="shared" si="59"/>
        <v>0</v>
      </c>
      <c r="N40" s="51">
        <f t="shared" si="59"/>
        <v>0</v>
      </c>
      <c r="O40" s="51">
        <f t="shared" si="59"/>
        <v>0</v>
      </c>
      <c r="P40" s="51">
        <f t="shared" si="59"/>
        <v>0</v>
      </c>
      <c r="Q40" s="51">
        <f t="shared" si="59"/>
        <v>0</v>
      </c>
      <c r="R40" s="51">
        <f t="shared" si="59"/>
        <v>0</v>
      </c>
      <c r="S40" s="51">
        <f t="shared" si="59"/>
        <v>0</v>
      </c>
      <c r="T40" s="75">
        <f t="shared" si="59"/>
        <v>0</v>
      </c>
      <c r="U40" s="75">
        <f t="shared" si="59"/>
        <v>0</v>
      </c>
      <c r="V40" s="51">
        <f t="shared" ref="V40:AK40" si="60">+IFERROR((SUM(V20:V25,V10:V15)-MAX(V10:V15,V20:V25)-MIN(V10:V15,V20:V25))/(COUNT(V20:V25,V10:V15)-2),"n/a ")</f>
        <v>0</v>
      </c>
      <c r="W40" s="51">
        <f t="shared" si="60"/>
        <v>0</v>
      </c>
      <c r="X40" s="51">
        <f t="shared" si="60"/>
        <v>0</v>
      </c>
      <c r="Y40" s="51">
        <f t="shared" si="60"/>
        <v>0</v>
      </c>
      <c r="Z40" s="51">
        <f t="shared" si="60"/>
        <v>0</v>
      </c>
      <c r="AA40" s="51">
        <f t="shared" si="60"/>
        <v>0</v>
      </c>
      <c r="AB40" s="52">
        <f t="shared" si="60"/>
        <v>0</v>
      </c>
      <c r="AC40" s="52">
        <f t="shared" si="60"/>
        <v>0</v>
      </c>
      <c r="AD40" s="52">
        <f t="shared" si="60"/>
        <v>0</v>
      </c>
      <c r="AE40" s="52">
        <f t="shared" si="60"/>
        <v>0</v>
      </c>
      <c r="AF40" s="52">
        <f t="shared" ref="AF40" si="61">+IFERROR((SUM(AF20:AF25,AF10:AF15)-MAX(AF10:AF15,AF20:AF25)-MIN(AF10:AF15,AF20:AF25))/(COUNT(AF20:AF25,AF10:AF15)-2),"n/a ")</f>
        <v>0</v>
      </c>
      <c r="AG40" s="52">
        <f t="shared" si="60"/>
        <v>0</v>
      </c>
      <c r="AH40" s="52">
        <f t="shared" si="60"/>
        <v>0</v>
      </c>
      <c r="AI40" s="52">
        <f t="shared" si="60"/>
        <v>0</v>
      </c>
      <c r="AJ40" s="86">
        <f t="shared" si="60"/>
        <v>0</v>
      </c>
      <c r="AK40" s="86">
        <f t="shared" si="60"/>
        <v>0</v>
      </c>
      <c r="AL40" s="52"/>
      <c r="BR40" s="46"/>
      <c r="BS40" s="46"/>
      <c r="BT40" s="46"/>
      <c r="BU40" s="46"/>
      <c r="BV40" s="49"/>
      <c r="BW40" s="49"/>
      <c r="BX40" s="49"/>
      <c r="BZ40" s="46"/>
      <c r="CA40" s="46"/>
      <c r="CB40" s="46"/>
    </row>
    <row r="41" spans="2:84" s="30" customFormat="1" ht="16.350000000000001" customHeight="1" collapsed="1" x14ac:dyDescent="0.25">
      <c r="B41" s="29"/>
      <c r="D41" s="58" t="s">
        <v>39</v>
      </c>
      <c r="E41" s="58"/>
      <c r="F41" s="58"/>
      <c r="G41" s="58"/>
      <c r="H41" s="58"/>
      <c r="I41" s="58"/>
      <c r="J41" s="58"/>
      <c r="K41" s="58"/>
      <c r="L41" s="59" t="str">
        <f>IFERROR(MEDIAN(L20:L25,L10:L15,L30:L35),"n/a ")</f>
        <v xml:space="preserve">n/a </v>
      </c>
      <c r="M41" s="59" t="str">
        <f t="shared" ref="M41:U41" si="62">IFERROR(MEDIAN(M20:M25,M10:M15,M30:M35),"n/a ")</f>
        <v xml:space="preserve">n/a </v>
      </c>
      <c r="N41" s="59" t="str">
        <f t="shared" si="62"/>
        <v xml:space="preserve">n/a </v>
      </c>
      <c r="O41" s="59" t="str">
        <f t="shared" si="62"/>
        <v xml:space="preserve">n/a </v>
      </c>
      <c r="P41" s="59" t="str">
        <f t="shared" si="62"/>
        <v xml:space="preserve">n/a </v>
      </c>
      <c r="Q41" s="59" t="str">
        <f t="shared" si="62"/>
        <v xml:space="preserve">n/a </v>
      </c>
      <c r="R41" s="59" t="str">
        <f t="shared" si="62"/>
        <v xml:space="preserve">n/a </v>
      </c>
      <c r="S41" s="59" t="str">
        <f t="shared" si="62"/>
        <v xml:space="preserve">n/a </v>
      </c>
      <c r="T41" s="76" t="str">
        <f t="shared" si="62"/>
        <v xml:space="preserve">n/a </v>
      </c>
      <c r="U41" s="76" t="str">
        <f t="shared" si="62"/>
        <v xml:space="preserve">n/a </v>
      </c>
      <c r="V41" s="59" t="str">
        <f t="shared" ref="V41:AK41" si="63">IFERROR(MEDIAN(V20:V25,V10:V15,V30:V35),"n/a ")</f>
        <v xml:space="preserve">n/a </v>
      </c>
      <c r="W41" s="59" t="str">
        <f t="shared" si="63"/>
        <v xml:space="preserve">n/a </v>
      </c>
      <c r="X41" s="59" t="str">
        <f t="shared" si="63"/>
        <v xml:space="preserve">n/a </v>
      </c>
      <c r="Y41" s="59" t="str">
        <f t="shared" si="63"/>
        <v xml:space="preserve">n/a </v>
      </c>
      <c r="Z41" s="59" t="str">
        <f t="shared" si="63"/>
        <v xml:space="preserve">n/a </v>
      </c>
      <c r="AA41" s="59" t="str">
        <f t="shared" si="63"/>
        <v xml:space="preserve">n/a </v>
      </c>
      <c r="AB41" s="60" t="str">
        <f t="shared" si="63"/>
        <v xml:space="preserve">n/a </v>
      </c>
      <c r="AC41" s="60" t="str">
        <f t="shared" si="63"/>
        <v xml:space="preserve">n/a </v>
      </c>
      <c r="AD41" s="60" t="str">
        <f t="shared" si="63"/>
        <v xml:space="preserve">n/a </v>
      </c>
      <c r="AE41" s="60" t="str">
        <f t="shared" si="63"/>
        <v xml:space="preserve">n/a </v>
      </c>
      <c r="AF41" s="60" t="str">
        <f t="shared" ref="AF41" si="64">IFERROR(MEDIAN(AF20:AF25,AF10:AF15,AF30:AF35),"n/a ")</f>
        <v xml:space="preserve">n/a </v>
      </c>
      <c r="AG41" s="60" t="str">
        <f t="shared" si="63"/>
        <v xml:space="preserve">n/a </v>
      </c>
      <c r="AH41" s="60" t="str">
        <f t="shared" si="63"/>
        <v xml:space="preserve">n/a </v>
      </c>
      <c r="AI41" s="60" t="str">
        <f t="shared" si="63"/>
        <v xml:space="preserve">n/a </v>
      </c>
      <c r="AJ41" s="87" t="str">
        <f t="shared" si="63"/>
        <v xml:space="preserve">n/a </v>
      </c>
      <c r="AK41" s="87" t="str">
        <f t="shared" si="63"/>
        <v xml:space="preserve">n/a </v>
      </c>
      <c r="AL41" s="60"/>
      <c r="BR41" s="46"/>
      <c r="BS41" s="46"/>
      <c r="BT41" s="46"/>
      <c r="BU41" s="46"/>
      <c r="BV41" s="49"/>
      <c r="BW41" s="49"/>
      <c r="BX41" s="49"/>
      <c r="BZ41" s="46"/>
      <c r="CA41" s="46"/>
      <c r="CB41" s="46"/>
    </row>
    <row r="42" spans="2:84" s="10" customFormat="1" ht="3" customHeight="1" x14ac:dyDescent="0.25">
      <c r="B42" s="9"/>
      <c r="J42" s="28"/>
      <c r="K42" s="28"/>
      <c r="L42" s="28"/>
      <c r="BR42" s="45"/>
      <c r="BS42" s="45"/>
      <c r="BT42" s="45"/>
      <c r="BU42" s="45"/>
      <c r="BV42" s="48"/>
      <c r="BW42" s="48"/>
      <c r="BX42" s="48"/>
      <c r="BZ42" s="45"/>
      <c r="CA42" s="45"/>
      <c r="CB42" s="45"/>
    </row>
  </sheetData>
  <sortState xmlns:xlrd2="http://schemas.microsoft.com/office/spreadsheetml/2017/richdata2" ref="B10:CF15">
    <sortCondition descending="1" ref="K10:K15"/>
  </sortState>
  <conditionalFormatting sqref="B10:B15">
    <cfRule type="duplicateValues" dxfId="8" priority="61"/>
  </conditionalFormatting>
  <conditionalFormatting sqref="G10:G15 G20:G25">
    <cfRule type="expression" dxfId="5" priority="46">
      <formula>I10="EUR"</formula>
    </cfRule>
    <cfRule type="expression" dxfId="4" priority="47">
      <formula>I10="CAD"</formula>
    </cfRule>
  </conditionalFormatting>
  <conditionalFormatting sqref="G30:G35">
    <cfRule type="expression" dxfId="3" priority="3">
      <formula>I30="EUR"</formula>
    </cfRule>
    <cfRule type="expression" dxfId="2" priority="4">
      <formula>I30="CAD"</formula>
    </cfRule>
  </conditionalFormatting>
  <conditionalFormatting sqref="B20:B25">
    <cfRule type="duplicateValues" dxfId="1" priority="2"/>
  </conditionalFormatting>
  <conditionalFormatting sqref="B30:B35">
    <cfRule type="duplicateValues" dxfId="0" priority="1"/>
  </conditionalFormatting>
  <pageMargins left="0.7" right="0.7" top="0.75" bottom="0.75" header="0.3" footer="0.3"/>
  <pageSetup scale="1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Comps</vt:lpstr>
      <vt:lpstr>Comps!Print_Area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Joey Shaw</dc:creator>
  <cp:lastModifiedBy>Tate Wilson</cp:lastModifiedBy>
  <dcterms:created xsi:type="dcterms:W3CDTF">2018-01-24T22:30:48Z</dcterms:created>
  <dcterms:modified xsi:type="dcterms:W3CDTF">2026-04-24T14:37:50Z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{02F2FB49-18D7-4FD0-B391-8825F6E7E010}</vt:lpwstr>
  </property>
  <property fmtid="{D5CDD505-2E9C-101B-9397-08002B2CF9AE}" pid="3" name="snltemplateid">
    <vt:r8>430539263</vt:r8>
  </property>
  <property fmtid="{D5CDD505-2E9C-101B-9397-08002B2CF9AE}" pid="4" name="KeyFile">
    <vt:r8>430539263</vt:r8>
  </property>
  <property fmtid="{D5CDD505-2E9C-101B-9397-08002B2CF9AE}" pid="5" name="MSIP_Label_6267e522-0091-4d88-9989-f382df9eb3cc_Enabled">
    <vt:lpwstr>true</vt:lpwstr>
  </property>
  <property fmtid="{D5CDD505-2E9C-101B-9397-08002B2CF9AE}" pid="6" name="MSIP_Label_6267e522-0091-4d88-9989-f382df9eb3cc_SetDate">
    <vt:lpwstr>2025-06-17T19:12:40Z</vt:lpwstr>
  </property>
  <property fmtid="{D5CDD505-2E9C-101B-9397-08002B2CF9AE}" pid="7" name="MSIP_Label_6267e522-0091-4d88-9989-f382df9eb3cc_Method">
    <vt:lpwstr>Privileged</vt:lpwstr>
  </property>
  <property fmtid="{D5CDD505-2E9C-101B-9397-08002B2CF9AE}" pid="8" name="MSIP_Label_6267e522-0091-4d88-9989-f382df9eb3cc_Name">
    <vt:lpwstr>General</vt:lpwstr>
  </property>
  <property fmtid="{D5CDD505-2E9C-101B-9397-08002B2CF9AE}" pid="9" name="MSIP_Label_6267e522-0091-4d88-9989-f382df9eb3cc_SiteId">
    <vt:lpwstr>8f3e36ea-8039-4b40-81a7-7dc0599e8645</vt:lpwstr>
  </property>
  <property fmtid="{D5CDD505-2E9C-101B-9397-08002B2CF9AE}" pid="10" name="MSIP_Label_6267e522-0091-4d88-9989-f382df9eb3cc_ActionId">
    <vt:lpwstr>91041642-74f4-4405-ac8d-5e74025083d7</vt:lpwstr>
  </property>
  <property fmtid="{D5CDD505-2E9C-101B-9397-08002B2CF9AE}" pid="11" name="MSIP_Label_6267e522-0091-4d88-9989-f382df9eb3cc_ContentBits">
    <vt:lpwstr>0</vt:lpwstr>
  </property>
</Properties>
</file>