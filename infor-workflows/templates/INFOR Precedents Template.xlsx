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forfg1-my.sharepoint.com/personal/twilson_inforfg_com/Documents/Desktop/Claude - INFOR/infor-workflows/infor-workflows/templates/"/>
    </mc:Choice>
  </mc:AlternateContent>
  <xr:revisionPtr revIDLastSave="295" documentId="8_{0848B0FA-4984-42F6-80CF-A7F512337903}" xr6:coauthVersionLast="47" xr6:coauthVersionMax="47" xr10:uidLastSave="{3E5C2B7A-2DC3-457F-9D88-CB60E96CFB41}"/>
  <bookViews>
    <workbookView xWindow="28680" yWindow="-120" windowWidth="29040" windowHeight="15720" firstSheet="1" activeTab="1" xr2:uid="{A6BB75E0-A801-473C-9678-28D65ECCDC5E}"/>
  </bookViews>
  <sheets>
    <sheet name="__snloffice" sheetId="2" state="veryHidden" r:id="rId1"/>
    <sheet name="Sheet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a="1"/>
  <c r="C7" i="1"/>
  <c r="C8" i="1" a="1"/>
  <c r="C8" i="1"/>
  <c r="C9" i="1" a="1"/>
  <c r="C9" i="1"/>
  <c r="C10" i="1" a="1"/>
  <c r="C10" i="1"/>
  <c r="C11" i="1" a="1"/>
  <c r="C11" i="1"/>
  <c r="C12" i="1" a="1"/>
  <c r="C12" i="1"/>
  <c r="C13" i="1" a="1"/>
  <c r="C13" i="1"/>
  <c r="C14" i="1" a="1"/>
  <c r="C14" i="1"/>
  <c r="C15" i="1" a="1"/>
  <c r="C15" i="1"/>
  <c r="C16" i="1" a="1"/>
  <c r="C16" i="1"/>
  <c r="C17" i="1" a="1"/>
  <c r="C17" i="1"/>
  <c r="C18" i="1" a="1"/>
  <c r="C18" i="1"/>
  <c r="C19" i="1" a="1"/>
  <c r="C19" i="1"/>
  <c r="C20" i="1" a="1"/>
  <c r="C20" i="1"/>
  <c r="C21" i="1" a="1"/>
  <c r="C21" i="1"/>
  <c r="E4" i="1" l="1"/>
  <c r="M17" i="1" l="1"/>
  <c r="L17" i="1"/>
  <c r="L19" i="1"/>
  <c r="M19" i="1"/>
  <c r="L14" i="1"/>
  <c r="M14" i="1"/>
  <c r="L16" i="1"/>
  <c r="M16" i="1"/>
  <c r="L15" i="1"/>
  <c r="M15" i="1"/>
  <c r="M20" i="1"/>
  <c r="L20" i="1"/>
  <c r="L18" i="1"/>
  <c r="M18" i="1"/>
  <c r="M21" i="1"/>
  <c r="L21" i="1"/>
  <c r="L13" i="1"/>
  <c r="M13" i="1"/>
  <c r="M12" i="1" l="1"/>
  <c r="L12" i="1"/>
  <c r="M11" i="1" l="1"/>
  <c r="L11" i="1"/>
  <c r="L10" i="1" l="1"/>
  <c r="M10" i="1"/>
  <c r="M9" i="1" l="1"/>
  <c r="L9" i="1"/>
  <c r="M7" i="1"/>
  <c r="L7" i="1"/>
  <c r="M8" i="1" l="1"/>
  <c r="M23" i="1" s="1"/>
  <c r="L8" i="1"/>
  <c r="L2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<sst xmlns="http://schemas.openxmlformats.org/spreadsheetml/2006/main" count="20" uniqueCount="19">
  <si>
    <t>Currency</t>
  </si>
  <si>
    <t>Input</t>
  </si>
  <si>
    <t>Target</t>
  </si>
  <si>
    <t>Acquiror</t>
  </si>
  <si>
    <t>Revenue</t>
  </si>
  <si>
    <t>EBITDA</t>
  </si>
  <si>
    <t>CAD</t>
  </si>
  <si>
    <t>HQ</t>
  </si>
  <si>
    <t>TEV</t>
  </si>
  <si>
    <t xml:space="preserve">Output Currency: </t>
  </si>
  <si>
    <t>FX</t>
  </si>
  <si>
    <t>Conversion</t>
  </si>
  <si>
    <t>Target Description</t>
  </si>
  <si>
    <t>Average</t>
  </si>
  <si>
    <t xml:space="preserve">TEV </t>
  </si>
  <si>
    <t>/ EBITDA</t>
  </si>
  <si>
    <t>/ Revenue</t>
  </si>
  <si>
    <t>Ann. Date</t>
  </si>
  <si>
    <t>允䅁䅁䅫䅁允䅁䅁䅊䑂䕁䅅䅒䡂䕁䅉䅕䅁䅁䅁䅁敁䅁䅁睔睂䡁䅑兡療䝁䄴督㙁䍁䅁杔䉂䑁䄰杔䉂䅁䅁杁䅁䉁䄴䅁呂䙁䅁睘兂䙁䅉兓䑂䕁䅕睘䑂䕁䅷睔呂䕁䅕䅁䉁䅁䅁䅅䅁䍁䅑睑䉂䕁䅑兖呂䕁䅑䅁䑁䅁䅁䅆䅁䍁䅑睑䉂䕁䅑䅎㉁䑁䅁杍穁䅁䅁䅂䅁䑁䅧䅁橁䕁䅫杔坂䕁䅅䅔䩂䕁䅑䅉䝂䙁䅕杔䑂䙁䅑兓偂䕁䄴䅉兂䕁䅅杕䉂䕁䄰兒啂䕁䅕杕䅁䅁䅕䅁允䅁䅁䅊䑂䕁䅅䅒䑂䕁䅅䅒䅁䅁䅙䅁䭁䅁䅁䅊䑂䕁䅅䅒䅁䅁䅣䅁潁䅁䅁睉䩂䕁䄴杖䉂䕁䅷兓䕂䍁䅁睑偂䕁䄰䅕䉂䕁䄴兗杁䕁䅫䅒䅁䅁䅧䅁䑁䅁䅁䍄䉁䅁䅁兂䅁䅁䅍䅄䅁䅁䅯睂䅁䅁䅯允䅁䅁䅕䅁䅁佁㑂欵䭁䅁䅉䅁䉁䅁䅁允䅁䅁䅯䅃䅁䅁杷允䅁䅁䅕䅁䑁䅁䅷䅁䭁䅁䅣䅁䭁䅁䅅䅁䭁偁䡑潃䭁䅁䅉䅁䉁䅁䅁允䅁䅁䅯兂䅁䅁杷允䅁䅁䅕䅁䑁䅁䅷䅁䭁䅁䅙䅁䭁䅁䅅䅁䙁䅁䅁䅁杄佥䅚权䍁䅁䅁允䅁䅁䅅䅁啁䅁䅅䅁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</si>
</sst>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_);\(&quot;$&quot;#,##0.0\);&quot;--&quot;"/>
    <numFmt numFmtId="165" formatCode="#,##0.0\x_);\(#,##0.0\x\);&quot;--&quot;"/>
    <numFmt numFmtId="166" formatCode="#,##0.0000000\x_);\(#,##0.0000000\x\);&quot;--&quot;"/>
    <numFmt numFmtId="167" formatCode="&quot;$&quot;#,##0_);\(&quot;$&quot;#,##0\);&quot;--&quot;"/>
  </numFmts>
  <fonts count="9" x14ac:knownFonts="1">
    <font>
      <sz val="10"/>
      <color theme="1"/>
      <name val="Arial"/>
      <family val="2"/>
    </font>
    <font>
      <sz val="10"/>
      <color theme="1"/>
      <name val="Arial"/>
      <family val="2"/>
    </font>
    <font>
      <sz val="9"/>
      <color theme="1"/>
      <name val="Palatino Linotype"/>
      <family val="1"/>
    </font>
    <font>
      <b/>
      <sz val="9"/>
      <color theme="0"/>
      <name val="Palatino Linotype"/>
      <family val="1"/>
    </font>
    <font>
      <sz val="9"/>
      <color rgb="FF0000FF"/>
      <name val="Palatino Linotype"/>
      <family val="1"/>
    </font>
    <font>
      <b/>
      <sz val="9"/>
      <color rgb="FFFFFFFF"/>
      <name val="Palatino Linotype"/>
      <family val="1"/>
    </font>
    <font>
      <sz val="9"/>
      <color rgb="FF000000"/>
      <name val="Palatino Linotype"/>
      <family val="1"/>
    </font>
    <font>
      <sz val="9"/>
      <name val="Palatino Linotype"/>
      <family val="1"/>
    </font>
    <font>
      <b/>
      <i/>
      <sz val="9"/>
      <color rgb="FFFFFFFF"/>
      <name val="Palatino Linotype"/>
      <family val="1"/>
    </font>
  </fonts>
  <fills count="8">
    <fill>
      <patternFill patternType="none"/>
    </fill>
    <fill>
      <patternFill patternType="gray125"/>
    </fill>
    <fill>
      <patternFill patternType="solid">
        <fgColor rgb="FFFFFFCC"/>
      </patternFill>
    </fill>
    <fill>
      <patternFill patternType="solid">
        <fgColor theme="1"/>
        <bgColor indexed="64"/>
      </patternFill>
    </fill>
    <fill>
      <patternFill patternType="solid">
        <fgColor rgb="FF0E213F"/>
        <bgColor rgb="FF000000"/>
      </patternFill>
    </fill>
    <fill>
      <patternFill patternType="solid">
        <fgColor theme="4"/>
        <bgColor indexed="64"/>
      </patternFill>
    </fill>
    <fill>
      <patternFill patternType="solid">
        <fgColor theme="9"/>
        <bgColor indexed="64"/>
      </patternFill>
    </fill>
    <fill>
      <patternFill patternType="solid">
        <fgColor rgb="FFA4844B"/>
        <bgColor rgb="FF000000"/>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right/>
      <top style="hair">
        <color rgb="FF000000"/>
      </top>
      <bottom/>
      <diagonal/>
    </border>
    <border>
      <left/>
      <right/>
      <top/>
      <bottom style="hair">
        <color rgb="FF000000"/>
      </bottom>
      <diagonal/>
    </border>
    <border>
      <left/>
      <right/>
      <top style="thin">
        <color rgb="FF000000"/>
      </top>
      <bottom style="thin">
        <color rgb="FF000000"/>
      </bottom>
      <diagonal/>
    </border>
  </borders>
  <cellStyleXfs count="2">
    <xf numFmtId="0" fontId="0" fillId="0" borderId="0"/>
    <xf numFmtId="0" fontId="1" fillId="2" borderId="1" applyNumberFormat="0" applyFont="0" applyAlignment="0" applyProtection="0"/>
  </cellStyleXfs>
  <cellXfs count="34">
    <xf numFmtId="0" fontId="0" fillId="0" borderId="0" xfId="0"/>
    <xf numFmtId="0" fontId="2" fillId="0" borderId="0" xfId="0" applyFont="1"/>
    <xf numFmtId="0" fontId="3" fillId="3" borderId="0" xfId="0" applyFont="1" applyFill="1" applyAlignment="1">
      <alignment horizontal="center"/>
    </xf>
    <xf numFmtId="0" fontId="5" fillId="4" borderId="0" xfId="0" applyFont="1" applyFill="1" applyAlignment="1">
      <alignment horizontal="left" vertical="center"/>
    </xf>
    <xf numFmtId="0" fontId="5" fillId="4" borderId="0" xfId="0" applyFont="1" applyFill="1" applyAlignment="1">
      <alignment horizontal="center" vertical="center" wrapText="1"/>
    </xf>
    <xf numFmtId="0" fontId="5" fillId="4" borderId="0" xfId="0" applyFont="1" applyFill="1" applyAlignment="1">
      <alignment horizontal="center" vertical="center"/>
    </xf>
    <xf numFmtId="0" fontId="5" fillId="4" borderId="0" xfId="0" applyFont="1" applyFill="1" applyAlignment="1">
      <alignment horizontal="left" vertical="center" wrapText="1"/>
    </xf>
    <xf numFmtId="0" fontId="5" fillId="4" borderId="0" xfId="0" applyFont="1" applyFill="1" applyAlignment="1">
      <alignment horizontal="left" vertical="center" indent="1"/>
    </xf>
    <xf numFmtId="0" fontId="5" fillId="5" borderId="0" xfId="0" applyFont="1" applyFill="1" applyAlignment="1">
      <alignment horizontal="center" vertical="center"/>
    </xf>
    <xf numFmtId="0" fontId="2" fillId="0" borderId="2" xfId="0" applyFont="1" applyBorder="1"/>
    <xf numFmtId="0" fontId="2" fillId="2" borderId="3" xfId="1" applyFont="1" applyBorder="1" applyAlignment="1">
      <alignment horizontal="center"/>
    </xf>
    <xf numFmtId="166" fontId="7" fillId="6" borderId="1" xfId="1" applyNumberFormat="1" applyFont="1" applyFill="1" applyAlignment="1">
      <alignment horizontal="center"/>
    </xf>
    <xf numFmtId="0" fontId="5" fillId="5" borderId="0" xfId="0" applyFont="1" applyFill="1" applyAlignment="1">
      <alignment horizontal="left" vertical="center"/>
    </xf>
    <xf numFmtId="15" fontId="6" fillId="0" borderId="4" xfId="0" applyNumberFormat="1" applyFont="1" applyBorder="1" applyAlignment="1">
      <alignment horizontal="left"/>
    </xf>
    <xf numFmtId="0" fontId="6" fillId="0" borderId="4" xfId="0" applyFont="1" applyBorder="1" applyAlignment="1">
      <alignment horizontal="left"/>
    </xf>
    <xf numFmtId="0" fontId="6" fillId="0" borderId="4" xfId="0" applyFont="1" applyBorder="1" applyAlignment="1">
      <alignment horizontal="center"/>
    </xf>
    <xf numFmtId="164" fontId="6" fillId="0" borderId="4" xfId="0" applyNumberFormat="1" applyFont="1" applyBorder="1" applyAlignment="1">
      <alignment horizontal="left"/>
    </xf>
    <xf numFmtId="0" fontId="6" fillId="0" borderId="5" xfId="0" applyFont="1" applyBorder="1" applyAlignment="1">
      <alignment horizontal="left"/>
    </xf>
    <xf numFmtId="0" fontId="6" fillId="0" borderId="5" xfId="0" applyFont="1" applyBorder="1" applyAlignment="1">
      <alignment horizontal="center"/>
    </xf>
    <xf numFmtId="164" fontId="6" fillId="0" borderId="5" xfId="0" applyNumberFormat="1" applyFont="1" applyBorder="1" applyAlignment="1">
      <alignment horizontal="left"/>
    </xf>
    <xf numFmtId="16" fontId="4" fillId="2" borderId="1" xfId="1" applyNumberFormat="1" applyFont="1" applyAlignment="1">
      <alignment horizontal="center"/>
    </xf>
    <xf numFmtId="164" fontId="6" fillId="0" borderId="5" xfId="0" applyNumberFormat="1" applyFont="1" applyBorder="1" applyAlignment="1">
      <alignment horizontal="right"/>
    </xf>
    <xf numFmtId="164" fontId="6" fillId="0" borderId="4" xfId="0" applyNumberFormat="1" applyFont="1" applyBorder="1" applyAlignment="1">
      <alignment horizontal="right"/>
    </xf>
    <xf numFmtId="165" fontId="2" fillId="0" borderId="5" xfId="0" applyNumberFormat="1" applyFont="1" applyBorder="1" applyAlignment="1">
      <alignment horizontal="right"/>
    </xf>
    <xf numFmtId="165" fontId="2" fillId="0" borderId="4" xfId="0" applyNumberFormat="1" applyFont="1" applyBorder="1" applyAlignment="1">
      <alignment horizontal="right"/>
    </xf>
    <xf numFmtId="0" fontId="5" fillId="7" borderId="6" xfId="0" applyFont="1" applyFill="1" applyBorder="1"/>
    <xf numFmtId="164" fontId="5" fillId="7" borderId="6" xfId="0" applyNumberFormat="1" applyFont="1" applyFill="1" applyBorder="1"/>
    <xf numFmtId="165" fontId="5" fillId="7" borderId="6" xfId="0" applyNumberFormat="1" applyFont="1" applyFill="1" applyBorder="1" applyAlignment="1">
      <alignment horizontal="right"/>
    </xf>
    <xf numFmtId="167" fontId="6" fillId="0" borderId="5" xfId="0" applyNumberFormat="1" applyFont="1" applyBorder="1" applyAlignment="1">
      <alignment horizontal="right"/>
    </xf>
    <xf numFmtId="167" fontId="6" fillId="0" borderId="4" xfId="0" applyNumberFormat="1" applyFont="1" applyBorder="1" applyAlignment="1">
      <alignment horizontal="right"/>
    </xf>
    <xf numFmtId="167" fontId="2" fillId="0" borderId="0" xfId="0" applyNumberFormat="1" applyFont="1"/>
    <xf numFmtId="167" fontId="5" fillId="7" borderId="6" xfId="0" applyNumberFormat="1" applyFont="1" applyFill="1" applyBorder="1" applyAlignment="1">
      <alignment horizontal="right"/>
    </xf>
    <xf numFmtId="0" fontId="8" fillId="4" borderId="0" xfId="0" applyFont="1" applyFill="1" applyAlignment="1">
      <alignment horizontal="left" vertical="center"/>
    </xf>
    <xf numFmtId="15" fontId="4" fillId="0" borderId="5" xfId="0" applyNumberFormat="1" applyFont="1" applyBorder="1" applyAlignment="1">
      <alignment horizontal="left"/>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INFORFG">
  <a:themeElements>
    <a:clrScheme name="INFOR (New)">
      <a:dk1>
        <a:sysClr val="windowText" lastClr="000000"/>
      </a:dk1>
      <a:lt1>
        <a:sysClr val="window" lastClr="FFFFFF"/>
      </a:lt1>
      <a:dk2>
        <a:srgbClr val="000000"/>
      </a:dk2>
      <a:lt2>
        <a:srgbClr val="FFFFFF"/>
      </a:lt2>
      <a:accent1>
        <a:srgbClr val="0E213F"/>
      </a:accent1>
      <a:accent2>
        <a:srgbClr val="46566E"/>
      </a:accent2>
      <a:accent3>
        <a:srgbClr val="ADB9CA"/>
      </a:accent3>
      <a:accent4>
        <a:srgbClr val="A4844B"/>
      </a:accent4>
      <a:accent5>
        <a:srgbClr val="767171"/>
      </a:accent5>
      <a:accent6>
        <a:srgbClr val="E5E3E3"/>
      </a:accent6>
      <a:hlink>
        <a:srgbClr val="800000"/>
      </a:hlink>
      <a:folHlink>
        <a:srgbClr val="3333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1E60-C986-4D1C-87A4-3116A6CEE89C}">
  <dimension ref="A1"/>
  <sheetViews>
    <sheetView workbookViewId="0"/>
  </sheetViews>
  <sheetFormatPr defaultRowHeight="12.75" x14ac:dyDescent="0.2"/>
  <sheetData>
    <row r="1" spans="1:1" x14ac:dyDescent="0.2">
      <c r="A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93AFD-E288-4A4B-BF10-AB57948F458E}">
  <dimension ref="B1:N23"/>
  <sheetViews>
    <sheetView showGridLines="0" tabSelected="1" workbookViewId="0"/>
  </sheetViews>
  <sheetFormatPr defaultRowHeight="14.25" outlineLevelCol="1" x14ac:dyDescent="0.3"/>
  <cols>
    <col min="1" max="1" width="2.7109375" style="1" customWidth="1"/>
    <col min="2" max="3" width="10.7109375" style="1" customWidth="1" outlineLevel="1"/>
    <col min="4" max="4" width="2.7109375" style="1" customWidth="1" outlineLevel="1"/>
    <col min="5" max="5" width="9.5703125" style="1" customWidth="1"/>
    <col min="6" max="7" width="26.140625" style="1" customWidth="1"/>
    <col min="8" max="8" width="7.5703125" style="1" customWidth="1"/>
    <col min="9" max="9" width="10.7109375" style="1" customWidth="1"/>
    <col min="10" max="11" width="10.7109375" style="1" hidden="1" customWidth="1" outlineLevel="1"/>
    <col min="12" max="12" width="13.7109375" style="1" customWidth="1" collapsed="1"/>
    <col min="13" max="13" width="13.7109375" style="1" customWidth="1"/>
    <col min="14" max="14" width="50.7109375" style="1" customWidth="1"/>
    <col min="15" max="16384" width="9.140625" style="1"/>
  </cols>
  <sheetData>
    <row r="1" spans="2:14" ht="15" thickBot="1" x14ac:dyDescent="0.35"/>
    <row r="2" spans="2:14" ht="15" thickBot="1" x14ac:dyDescent="0.35">
      <c r="G2" s="9" t="s">
        <v>9</v>
      </c>
      <c r="H2" s="10" t="s">
        <v>6</v>
      </c>
    </row>
    <row r="4" spans="2:14" x14ac:dyDescent="0.3">
      <c r="B4" s="2" t="s">
        <v>1</v>
      </c>
      <c r="C4" s="2" t="s">
        <v>10</v>
      </c>
      <c r="E4" s="32" t="str">
        <f>"Figures in "&amp;IF($H$2="CAD","C$MM","US$MM")</f>
        <v>Figures in C$MM</v>
      </c>
      <c r="F4" s="4"/>
      <c r="G4" s="5"/>
      <c r="H4" s="5"/>
      <c r="I4" s="8"/>
      <c r="J4" s="8"/>
      <c r="K4" s="8"/>
      <c r="L4" s="8" t="s">
        <v>14</v>
      </c>
      <c r="M4" s="8" t="s">
        <v>14</v>
      </c>
      <c r="N4" s="8"/>
    </row>
    <row r="5" spans="2:14" x14ac:dyDescent="0.3">
      <c r="B5" s="2" t="s">
        <v>0</v>
      </c>
      <c r="C5" s="2" t="s">
        <v>11</v>
      </c>
      <c r="E5" s="3" t="s">
        <v>17</v>
      </c>
      <c r="F5" s="6" t="s">
        <v>2</v>
      </c>
      <c r="G5" s="7" t="s">
        <v>3</v>
      </c>
      <c r="H5" s="5" t="s">
        <v>7</v>
      </c>
      <c r="I5" s="8" t="s">
        <v>8</v>
      </c>
      <c r="J5" s="8" t="s">
        <v>5</v>
      </c>
      <c r="K5" s="8" t="s">
        <v>4</v>
      </c>
      <c r="L5" s="8" t="s">
        <v>15</v>
      </c>
      <c r="M5" s="8" t="s">
        <v>16</v>
      </c>
      <c r="N5" s="12" t="s">
        <v>12</v>
      </c>
    </row>
    <row r="6" spans="2:14" customFormat="1" ht="3" customHeight="1" x14ac:dyDescent="0.2"/>
    <row r="7" spans="2:14" x14ac:dyDescent="0.3">
      <c r="B7" s="20"/>
      <c r="C7" s="11" t="str" cm="1">
        <f t="array" ref="C7">_xll.SNL.Clients.Office.Excel.Functions.SPG("$"&amp;$H$2&amp;$B7,"SP_PRICE_CLOSE",WORKDAY(E7+1,-1),"Options: NA=NA")</f>
        <v>#INVALID FUNCTION PARAMETER</v>
      </c>
      <c r="E7" s="33"/>
      <c r="F7" s="17"/>
      <c r="G7" s="17"/>
      <c r="H7" s="18"/>
      <c r="I7" s="28"/>
      <c r="J7" s="21"/>
      <c r="K7" s="21"/>
      <c r="L7" s="23" t="str">
        <f>IFERROR($I7/J7,"n/a ")</f>
        <v xml:space="preserve">n/a </v>
      </c>
      <c r="M7" s="23" t="str">
        <f>IFERROR($I7/K7,"n/a ")</f>
        <v xml:space="preserve">n/a </v>
      </c>
      <c r="N7" s="19"/>
    </row>
    <row r="8" spans="2:14" x14ac:dyDescent="0.3">
      <c r="B8" s="20"/>
      <c r="C8" s="11" t="str" cm="1">
        <f t="array" ref="C8">_xll.SNL.Clients.Office.Excel.Functions.SPG("$"&amp;$H$2&amp;$B8,"SP_PRICE_CLOSE",WORKDAY(E8+1,-1),"Options: NA=NA")</f>
        <v>#INVALID FUNCTION PARAMETER</v>
      </c>
      <c r="E8" s="13"/>
      <c r="F8" s="14"/>
      <c r="G8" s="14"/>
      <c r="H8" s="15"/>
      <c r="I8" s="29"/>
      <c r="J8" s="22"/>
      <c r="K8" s="22"/>
      <c r="L8" s="24" t="str">
        <f t="shared" ref="L8:L21" si="0">IFERROR($I8/J8,"n/a ")</f>
        <v xml:space="preserve">n/a </v>
      </c>
      <c r="M8" s="24" t="str">
        <f t="shared" ref="M8:M21" si="1">IFERROR($I8/K8,"n/a ")</f>
        <v xml:space="preserve">n/a </v>
      </c>
      <c r="N8" s="16"/>
    </row>
    <row r="9" spans="2:14" x14ac:dyDescent="0.3">
      <c r="B9" s="20"/>
      <c r="C9" s="11" t="str" cm="1">
        <f t="array" ref="C9">_xll.SNL.Clients.Office.Excel.Functions.SPG("$"&amp;$H$2&amp;$B9,"SP_PRICE_CLOSE",WORKDAY(E9+1,-1),"Options: NA=NA")</f>
        <v>#INVALID FUNCTION PARAMETER</v>
      </c>
      <c r="E9" s="13"/>
      <c r="F9" s="14"/>
      <c r="G9" s="14"/>
      <c r="H9" s="15"/>
      <c r="I9" s="29"/>
      <c r="J9" s="22"/>
      <c r="K9" s="22"/>
      <c r="L9" s="24" t="str">
        <f t="shared" si="0"/>
        <v xml:space="preserve">n/a </v>
      </c>
      <c r="M9" s="24" t="str">
        <f t="shared" si="1"/>
        <v xml:space="preserve">n/a </v>
      </c>
      <c r="N9" s="16"/>
    </row>
    <row r="10" spans="2:14" x14ac:dyDescent="0.3">
      <c r="B10" s="20"/>
      <c r="C10" s="11" t="str" cm="1">
        <f t="array" ref="C10">_xll.SNL.Clients.Office.Excel.Functions.SPG("$"&amp;$H$2&amp;$B10,"SP_PRICE_CLOSE",WORKDAY(E10+1,-1),"Options: NA=NA")</f>
        <v>#INVALID FUNCTION PARAMETER</v>
      </c>
      <c r="E10" s="13"/>
      <c r="F10" s="14"/>
      <c r="G10" s="14"/>
      <c r="H10" s="15"/>
      <c r="I10" s="29"/>
      <c r="J10" s="22"/>
      <c r="K10" s="22"/>
      <c r="L10" s="24" t="str">
        <f t="shared" si="0"/>
        <v xml:space="preserve">n/a </v>
      </c>
      <c r="M10" s="24" t="str">
        <f t="shared" si="1"/>
        <v xml:space="preserve">n/a </v>
      </c>
      <c r="N10" s="16"/>
    </row>
    <row r="11" spans="2:14" x14ac:dyDescent="0.3">
      <c r="B11" s="20"/>
      <c r="C11" s="11" t="str" cm="1">
        <f t="array" ref="C11">_xll.SNL.Clients.Office.Excel.Functions.SPG("$"&amp;$H$2&amp;$B11,"SP_PRICE_CLOSE",WORKDAY(E11+1,-1),"Options: NA=NA")</f>
        <v>#INVALID FUNCTION PARAMETER</v>
      </c>
      <c r="E11" s="13"/>
      <c r="F11" s="14"/>
      <c r="G11" s="14"/>
      <c r="H11" s="15"/>
      <c r="I11" s="29"/>
      <c r="J11" s="22"/>
      <c r="K11" s="22"/>
      <c r="L11" s="24" t="str">
        <f t="shared" si="0"/>
        <v xml:space="preserve">n/a </v>
      </c>
      <c r="M11" s="24" t="str">
        <f t="shared" si="1"/>
        <v xml:space="preserve">n/a </v>
      </c>
      <c r="N11" s="16"/>
    </row>
    <row r="12" spans="2:14" x14ac:dyDescent="0.3">
      <c r="B12" s="20"/>
      <c r="C12" s="11" t="str" cm="1">
        <f t="array" ref="C12">_xll.SNL.Clients.Office.Excel.Functions.SPG("$"&amp;$H$2&amp;$B12,"SP_PRICE_CLOSE",WORKDAY(E12+1,-1),"Options: NA=NA")</f>
        <v>#INVALID FUNCTION PARAMETER</v>
      </c>
      <c r="E12" s="13"/>
      <c r="F12" s="14"/>
      <c r="G12" s="14"/>
      <c r="H12" s="15"/>
      <c r="I12" s="29"/>
      <c r="J12" s="22"/>
      <c r="K12" s="22"/>
      <c r="L12" s="24" t="str">
        <f t="shared" si="0"/>
        <v xml:space="preserve">n/a </v>
      </c>
      <c r="M12" s="24" t="str">
        <f t="shared" si="1"/>
        <v xml:space="preserve">n/a </v>
      </c>
      <c r="N12" s="16"/>
    </row>
    <row r="13" spans="2:14" x14ac:dyDescent="0.3">
      <c r="B13" s="20"/>
      <c r="C13" s="11" t="str" cm="1">
        <f t="array" ref="C13">_xll.SNL.Clients.Office.Excel.Functions.SPG("$"&amp;$H$2&amp;$B13,"SP_PRICE_CLOSE",WORKDAY(E13+1,-1),"Options: NA=NA")</f>
        <v>#INVALID FUNCTION PARAMETER</v>
      </c>
      <c r="E13" s="13"/>
      <c r="F13" s="14"/>
      <c r="G13" s="14"/>
      <c r="H13" s="15"/>
      <c r="I13" s="29"/>
      <c r="J13" s="22"/>
      <c r="K13" s="22"/>
      <c r="L13" s="24" t="str">
        <f t="shared" si="0"/>
        <v xml:space="preserve">n/a </v>
      </c>
      <c r="M13" s="24" t="str">
        <f t="shared" si="1"/>
        <v xml:space="preserve">n/a </v>
      </c>
      <c r="N13" s="16"/>
    </row>
    <row r="14" spans="2:14" x14ac:dyDescent="0.3">
      <c r="B14" s="20"/>
      <c r="C14" s="11" t="str" cm="1">
        <f t="array" ref="C14">_xll.SNL.Clients.Office.Excel.Functions.SPG("$"&amp;$H$2&amp;$B14,"SP_PRICE_CLOSE",WORKDAY(E14+1,-1),"Options: NA=NA")</f>
        <v>#INVALID FUNCTION PARAMETER</v>
      </c>
      <c r="E14" s="13"/>
      <c r="F14" s="14"/>
      <c r="G14" s="14"/>
      <c r="H14" s="15"/>
      <c r="I14" s="29"/>
      <c r="J14" s="22"/>
      <c r="K14" s="22"/>
      <c r="L14" s="24" t="str">
        <f t="shared" si="0"/>
        <v xml:space="preserve">n/a </v>
      </c>
      <c r="M14" s="24" t="str">
        <f t="shared" ref="M14:M20" si="2">IFERROR($I14/K14,"n/a ")</f>
        <v xml:space="preserve">n/a </v>
      </c>
      <c r="N14" s="16"/>
    </row>
    <row r="15" spans="2:14" x14ac:dyDescent="0.3">
      <c r="B15" s="20"/>
      <c r="C15" s="11" t="str" cm="1">
        <f t="array" ref="C15">_xll.SNL.Clients.Office.Excel.Functions.SPG("$"&amp;$H$2&amp;$B15,"SP_PRICE_CLOSE",WORKDAY(E15+1,-1),"Options: NA=NA")</f>
        <v>#INVALID FUNCTION PARAMETER</v>
      </c>
      <c r="E15" s="13"/>
      <c r="F15" s="14"/>
      <c r="G15" s="14"/>
      <c r="H15" s="15"/>
      <c r="I15" s="29"/>
      <c r="J15" s="22"/>
      <c r="K15" s="22"/>
      <c r="L15" s="24" t="str">
        <f t="shared" si="0"/>
        <v xml:space="preserve">n/a </v>
      </c>
      <c r="M15" s="24" t="str">
        <f t="shared" si="2"/>
        <v xml:space="preserve">n/a </v>
      </c>
      <c r="N15" s="16"/>
    </row>
    <row r="16" spans="2:14" x14ac:dyDescent="0.3">
      <c r="B16" s="20"/>
      <c r="C16" s="11" t="str" cm="1">
        <f t="array" ref="C16">_xll.SNL.Clients.Office.Excel.Functions.SPG("$"&amp;$H$2&amp;$B16,"SP_PRICE_CLOSE",WORKDAY(E16+1,-1),"Options: NA=NA")</f>
        <v>#INVALID FUNCTION PARAMETER</v>
      </c>
      <c r="E16" s="13"/>
      <c r="F16" s="14"/>
      <c r="G16" s="14"/>
      <c r="H16" s="15"/>
      <c r="I16" s="29"/>
      <c r="J16" s="22"/>
      <c r="K16" s="22"/>
      <c r="L16" s="24" t="str">
        <f t="shared" si="0"/>
        <v xml:space="preserve">n/a </v>
      </c>
      <c r="M16" s="24" t="str">
        <f t="shared" si="2"/>
        <v xml:space="preserve">n/a </v>
      </c>
      <c r="N16" s="16"/>
    </row>
    <row r="17" spans="2:14" x14ac:dyDescent="0.3">
      <c r="B17" s="20"/>
      <c r="C17" s="11" t="str" cm="1">
        <f t="array" ref="C17">_xll.SNL.Clients.Office.Excel.Functions.SPG("$"&amp;$H$2&amp;$B17,"SP_PRICE_CLOSE",WORKDAY(E17+1,-1),"Options: NA=NA")</f>
        <v>#INVALID FUNCTION PARAMETER</v>
      </c>
      <c r="E17" s="13"/>
      <c r="F17" s="14"/>
      <c r="G17" s="14"/>
      <c r="H17" s="15"/>
      <c r="I17" s="29"/>
      <c r="J17" s="22"/>
      <c r="K17" s="22"/>
      <c r="L17" s="24" t="str">
        <f t="shared" si="0"/>
        <v xml:space="preserve">n/a </v>
      </c>
      <c r="M17" s="24" t="str">
        <f t="shared" si="2"/>
        <v xml:space="preserve">n/a </v>
      </c>
      <c r="N17" s="16"/>
    </row>
    <row r="18" spans="2:14" x14ac:dyDescent="0.3">
      <c r="B18" s="20"/>
      <c r="C18" s="11" t="str" cm="1">
        <f t="array" ref="C18">_xll.SNL.Clients.Office.Excel.Functions.SPG("$"&amp;$H$2&amp;$B18,"SP_PRICE_CLOSE",WORKDAY(E18+1,-1),"Options: NA=NA")</f>
        <v>#INVALID FUNCTION PARAMETER</v>
      </c>
      <c r="E18" s="13"/>
      <c r="F18" s="14"/>
      <c r="G18" s="14"/>
      <c r="H18" s="15"/>
      <c r="I18" s="29"/>
      <c r="J18" s="22"/>
      <c r="K18" s="22"/>
      <c r="L18" s="24" t="str">
        <f t="shared" si="0"/>
        <v xml:space="preserve">n/a </v>
      </c>
      <c r="M18" s="24" t="str">
        <f t="shared" si="2"/>
        <v xml:space="preserve">n/a </v>
      </c>
      <c r="N18" s="16"/>
    </row>
    <row r="19" spans="2:14" x14ac:dyDescent="0.3">
      <c r="B19" s="20"/>
      <c r="C19" s="11" t="str" cm="1">
        <f t="array" ref="C19">_xll.SNL.Clients.Office.Excel.Functions.SPG("$"&amp;$H$2&amp;$B19,"SP_PRICE_CLOSE",WORKDAY(E19+1,-1),"Options: NA=NA")</f>
        <v>#INVALID FUNCTION PARAMETER</v>
      </c>
      <c r="E19" s="13"/>
      <c r="F19" s="14"/>
      <c r="G19" s="14"/>
      <c r="H19" s="15"/>
      <c r="I19" s="29"/>
      <c r="J19" s="22"/>
      <c r="K19" s="22"/>
      <c r="L19" s="24" t="str">
        <f t="shared" si="0"/>
        <v xml:space="preserve">n/a </v>
      </c>
      <c r="M19" s="24" t="str">
        <f t="shared" si="2"/>
        <v xml:space="preserve">n/a </v>
      </c>
      <c r="N19" s="16"/>
    </row>
    <row r="20" spans="2:14" x14ac:dyDescent="0.3">
      <c r="B20" s="20"/>
      <c r="C20" s="11" t="str" cm="1">
        <f t="array" ref="C20">_xll.SNL.Clients.Office.Excel.Functions.SPG("$"&amp;$H$2&amp;$B20,"SP_PRICE_CLOSE",WORKDAY(E20+1,-1),"Options: NA=NA")</f>
        <v>#INVALID FUNCTION PARAMETER</v>
      </c>
      <c r="E20" s="13"/>
      <c r="F20" s="14"/>
      <c r="G20" s="14"/>
      <c r="H20" s="15"/>
      <c r="I20" s="29"/>
      <c r="J20" s="22"/>
      <c r="K20" s="22"/>
      <c r="L20" s="24" t="str">
        <f t="shared" si="0"/>
        <v xml:space="preserve">n/a </v>
      </c>
      <c r="M20" s="24" t="str">
        <f t="shared" si="2"/>
        <v xml:space="preserve">n/a </v>
      </c>
      <c r="N20" s="16"/>
    </row>
    <row r="21" spans="2:14" x14ac:dyDescent="0.3">
      <c r="B21" s="20"/>
      <c r="C21" s="11" t="str" cm="1">
        <f t="array" ref="C21">_xll.SNL.Clients.Office.Excel.Functions.SPG("$"&amp;$H$2&amp;$B21,"SP_PRICE_CLOSE",WORKDAY(E21+1,-1),"Options: NA=NA")</f>
        <v>#INVALID FUNCTION PARAMETER</v>
      </c>
      <c r="E21" s="13"/>
      <c r="F21" s="14"/>
      <c r="G21" s="14"/>
      <c r="H21" s="15"/>
      <c r="I21" s="29"/>
      <c r="J21" s="22"/>
      <c r="K21" s="22"/>
      <c r="L21" s="24" t="str">
        <f t="shared" si="0"/>
        <v xml:space="preserve">n/a </v>
      </c>
      <c r="M21" s="24" t="str">
        <f t="shared" si="1"/>
        <v xml:space="preserve">n/a </v>
      </c>
      <c r="N21" s="16"/>
    </row>
    <row r="22" spans="2:14" ht="3" customHeight="1" x14ac:dyDescent="0.3">
      <c r="I22" s="30"/>
    </row>
    <row r="23" spans="2:14" ht="14.25" customHeight="1" x14ac:dyDescent="0.3">
      <c r="E23" s="25" t="s">
        <v>13</v>
      </c>
      <c r="F23" s="25"/>
      <c r="G23" s="25"/>
      <c r="H23" s="25"/>
      <c r="I23" s="31"/>
      <c r="J23" s="26"/>
      <c r="K23" s="26"/>
      <c r="L23" s="27" t="str">
        <f>IFERROR(AVERAGE(L7:L21),"n/a ")</f>
        <v xml:space="preserve">n/a </v>
      </c>
      <c r="M23" s="27" t="str">
        <f>IFERROR(AVERAGE(M7:M21),"n/a ")</f>
        <v xml:space="preserve">n/a </v>
      </c>
      <c r="N23" s="2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Tate Wilson</dc:creator>
  <cp:lastModifiedBy>Tate Wilson</cp:lastModifiedBy>
  <dcterms:created xsi:type="dcterms:W3CDTF">2026-03-26T17:29:02Z</dcterms:created>
  <dcterms:modified xsi:type="dcterms:W3CDTF">2026-05-04T19:13:30Z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{45D58B0F-6D11-4F7B-8790-F3F47AD74BE7}</vt:lpwstr>
  </property>
</Properties>
</file>