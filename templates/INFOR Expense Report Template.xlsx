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forfg1-my.sharepoint.com/personal/twilson_inforfg_com/Documents/Desktop/"/>
    </mc:Choice>
  </mc:AlternateContent>
  <xr:revisionPtr revIDLastSave="67" documentId="8_{7CAC8C5C-D776-4D0E-9EB9-64EB509F089C}" xr6:coauthVersionLast="47" xr6:coauthVersionMax="47" xr10:uidLastSave="{41EB8D4C-6233-44C9-90B5-47071B1E89DF}"/>
  <bookViews>
    <workbookView xWindow="-96" yWindow="-96" windowWidth="20928" windowHeight="12432" xr2:uid="{00000000-000D-0000-FFFF-FFFF00000000}"/>
  </bookViews>
  <sheets>
    <sheet name="IFI" sheetId="5" r:id="rId1"/>
    <sheet name="IFG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5" l="1"/>
  <c r="R17" i="5"/>
  <c r="R16" i="5"/>
  <c r="R15" i="5"/>
  <c r="R14" i="5"/>
  <c r="R13" i="5"/>
  <c r="R12" i="5"/>
  <c r="R11" i="5"/>
  <c r="R9" i="5"/>
  <c r="Q26" i="5"/>
  <c r="R26" i="5"/>
  <c r="S26" i="5"/>
  <c r="Q25" i="5"/>
  <c r="R25" i="5" s="1"/>
  <c r="Q24" i="5"/>
  <c r="R24" i="5"/>
  <c r="S24" i="5"/>
  <c r="Q23" i="5"/>
  <c r="R23" i="5" s="1"/>
  <c r="Q22" i="5"/>
  <c r="Q21" i="5"/>
  <c r="Q20" i="5"/>
  <c r="Q12" i="5"/>
  <c r="Q13" i="5"/>
  <c r="Q14" i="5"/>
  <c r="P57" i="1"/>
  <c r="R57" i="1" s="1"/>
  <c r="P56" i="1"/>
  <c r="R56" i="1" s="1"/>
  <c r="P55" i="1"/>
  <c r="R55" i="1" s="1"/>
  <c r="P54" i="1"/>
  <c r="R54" i="1" s="1"/>
  <c r="P53" i="1"/>
  <c r="R53" i="1" s="1"/>
  <c r="P52" i="1"/>
  <c r="R52" i="1" s="1"/>
  <c r="P51" i="1"/>
  <c r="R51" i="1" s="1"/>
  <c r="P50" i="1"/>
  <c r="R50" i="1" s="1"/>
  <c r="P49" i="1"/>
  <c r="R49" i="1" s="1"/>
  <c r="P48" i="1"/>
  <c r="R48" i="1" s="1"/>
  <c r="P47" i="1"/>
  <c r="R47" i="1" s="1"/>
  <c r="P46" i="1"/>
  <c r="R46" i="1" s="1"/>
  <c r="P45" i="1"/>
  <c r="R45" i="1" s="1"/>
  <c r="P44" i="1"/>
  <c r="R44" i="1" s="1"/>
  <c r="P43" i="1"/>
  <c r="R43" i="1" s="1"/>
  <c r="P42" i="1"/>
  <c r="R42" i="1" s="1"/>
  <c r="P41" i="1"/>
  <c r="Q41" i="1" s="1"/>
  <c r="P40" i="1"/>
  <c r="R40" i="1" s="1"/>
  <c r="P75" i="1"/>
  <c r="R75" i="1" s="1"/>
  <c r="P74" i="1"/>
  <c r="R74" i="1" s="1"/>
  <c r="P73" i="1"/>
  <c r="R73" i="1" s="1"/>
  <c r="P72" i="1"/>
  <c r="R72" i="1" s="1"/>
  <c r="P71" i="1"/>
  <c r="R71" i="1" s="1"/>
  <c r="P70" i="1"/>
  <c r="R70" i="1" s="1"/>
  <c r="P69" i="1"/>
  <c r="R69" i="1" s="1"/>
  <c r="P68" i="1"/>
  <c r="R68" i="1" s="1"/>
  <c r="P67" i="1"/>
  <c r="R67" i="1" s="1"/>
  <c r="P66" i="1"/>
  <c r="R66" i="1" s="1"/>
  <c r="P65" i="1"/>
  <c r="R65" i="1" s="1"/>
  <c r="P64" i="1"/>
  <c r="R64" i="1" s="1"/>
  <c r="P63" i="1"/>
  <c r="P62" i="1"/>
  <c r="R62" i="1" s="1"/>
  <c r="P61" i="1"/>
  <c r="R61" i="1" s="1"/>
  <c r="P60" i="1"/>
  <c r="R60" i="1" s="1"/>
  <c r="P59" i="1"/>
  <c r="R59" i="1" s="1"/>
  <c r="P58" i="1"/>
  <c r="R58" i="1" s="1"/>
  <c r="P39" i="1"/>
  <c r="R39" i="1" s="1"/>
  <c r="P38" i="1"/>
  <c r="R38" i="1" s="1"/>
  <c r="P37" i="1"/>
  <c r="R37" i="1" s="1"/>
  <c r="P36" i="1"/>
  <c r="R36" i="1" s="1"/>
  <c r="P76" i="1"/>
  <c r="P35" i="1"/>
  <c r="R35" i="1" s="1"/>
  <c r="P34" i="1"/>
  <c r="R34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Q23" i="1" s="1"/>
  <c r="R23" i="1" s="1"/>
  <c r="P22" i="1"/>
  <c r="P21" i="1"/>
  <c r="P20" i="1"/>
  <c r="P19" i="1"/>
  <c r="R19" i="1" s="1"/>
  <c r="P18" i="1"/>
  <c r="P16" i="1"/>
  <c r="P15" i="1"/>
  <c r="P14" i="1"/>
  <c r="P13" i="1"/>
  <c r="R13" i="1" s="1"/>
  <c r="P11" i="1"/>
  <c r="P10" i="1"/>
  <c r="R10" i="1" s="1"/>
  <c r="H48" i="5"/>
  <c r="S25" i="5" l="1"/>
  <c r="S23" i="5"/>
  <c r="R22" i="5"/>
  <c r="S22" i="5" s="1"/>
  <c r="R21" i="5"/>
  <c r="S21" i="5" s="1"/>
  <c r="R20" i="5"/>
  <c r="S20" i="5" s="1"/>
  <c r="S14" i="5"/>
  <c r="S13" i="5"/>
  <c r="S12" i="5"/>
  <c r="R41" i="1"/>
  <c r="Q63" i="1"/>
  <c r="R63" i="1" s="1"/>
  <c r="Q76" i="1"/>
  <c r="R76" i="1" s="1"/>
  <c r="R22" i="1"/>
  <c r="R21" i="1"/>
  <c r="R18" i="1"/>
  <c r="R20" i="1"/>
  <c r="R15" i="1"/>
  <c r="R14" i="1"/>
  <c r="R16" i="1"/>
  <c r="R11" i="1"/>
  <c r="Q16" i="5" l="1"/>
  <c r="S16" i="5" l="1"/>
  <c r="J49" i="5"/>
  <c r="H49" i="5" s="1"/>
  <c r="J50" i="5"/>
  <c r="H50" i="5" s="1"/>
  <c r="Q9" i="5" l="1"/>
  <c r="Q10" i="5"/>
  <c r="Q19" i="5"/>
  <c r="R19" i="5" s="1"/>
  <c r="Q18" i="5"/>
  <c r="Q17" i="5"/>
  <c r="Q15" i="5"/>
  <c r="J47" i="5" l="1"/>
  <c r="R10" i="5"/>
  <c r="S18" i="5"/>
  <c r="S19" i="5"/>
  <c r="G48" i="5" s="1"/>
  <c r="S15" i="5"/>
  <c r="D43" i="5" s="1"/>
  <c r="S17" i="5"/>
  <c r="F45" i="5" s="1"/>
  <c r="S10" i="5"/>
  <c r="Q29" i="5"/>
  <c r="R29" i="5" s="1"/>
  <c r="M30" i="5"/>
  <c r="N30" i="5" s="1"/>
  <c r="A10" i="5"/>
  <c r="A11" i="5" s="1"/>
  <c r="A12" i="5" s="1"/>
  <c r="Q11" i="5"/>
  <c r="E43" i="5"/>
  <c r="F43" i="5"/>
  <c r="G43" i="5"/>
  <c r="H43" i="5"/>
  <c r="J43" i="5"/>
  <c r="E44" i="5"/>
  <c r="F44" i="5"/>
  <c r="G44" i="5"/>
  <c r="H44" i="5"/>
  <c r="D45" i="5"/>
  <c r="E45" i="5"/>
  <c r="G45" i="5"/>
  <c r="H45" i="5"/>
  <c r="J45" i="5"/>
  <c r="D46" i="5"/>
  <c r="E46" i="5"/>
  <c r="F46" i="5"/>
  <c r="G46" i="5"/>
  <c r="H46" i="5"/>
  <c r="J46" i="5"/>
  <c r="D47" i="5"/>
  <c r="E47" i="5"/>
  <c r="F47" i="5"/>
  <c r="G47" i="5"/>
  <c r="D49" i="5"/>
  <c r="E49" i="5"/>
  <c r="F49" i="5"/>
  <c r="G49" i="5"/>
  <c r="D50" i="5"/>
  <c r="E50" i="5"/>
  <c r="F50" i="5"/>
  <c r="G50" i="5"/>
  <c r="D51" i="5"/>
  <c r="E51" i="5"/>
  <c r="F51" i="5"/>
  <c r="G51" i="5"/>
  <c r="H51" i="5"/>
  <c r="J51" i="5"/>
  <c r="D52" i="5"/>
  <c r="E52" i="5"/>
  <c r="F52" i="5"/>
  <c r="G52" i="5"/>
  <c r="H52" i="5"/>
  <c r="J52" i="5"/>
  <c r="D53" i="5"/>
  <c r="E53" i="5"/>
  <c r="F53" i="5"/>
  <c r="G53" i="5"/>
  <c r="H53" i="5"/>
  <c r="J53" i="5"/>
  <c r="D54" i="5"/>
  <c r="E54" i="5"/>
  <c r="F54" i="5"/>
  <c r="G54" i="5"/>
  <c r="D55" i="5"/>
  <c r="E55" i="5"/>
  <c r="F55" i="5"/>
  <c r="G55" i="5"/>
  <c r="H55" i="5"/>
  <c r="J55" i="5"/>
  <c r="D56" i="5"/>
  <c r="E56" i="5"/>
  <c r="F56" i="5"/>
  <c r="G56" i="5"/>
  <c r="H56" i="5"/>
  <c r="J56" i="5"/>
  <c r="D57" i="5"/>
  <c r="E57" i="5"/>
  <c r="F57" i="5"/>
  <c r="G57" i="5"/>
  <c r="H57" i="5"/>
  <c r="J57" i="5"/>
  <c r="D58" i="5"/>
  <c r="E58" i="5"/>
  <c r="F58" i="5"/>
  <c r="G58" i="5"/>
  <c r="H58" i="5"/>
  <c r="J58" i="5"/>
  <c r="D59" i="5"/>
  <c r="E59" i="5"/>
  <c r="F59" i="5"/>
  <c r="G59" i="5"/>
  <c r="H59" i="5"/>
  <c r="J59" i="5"/>
  <c r="D60" i="5"/>
  <c r="E60" i="5"/>
  <c r="F60" i="5"/>
  <c r="G60" i="5"/>
  <c r="H60" i="5"/>
  <c r="J60" i="5"/>
  <c r="D61" i="5"/>
  <c r="E61" i="5"/>
  <c r="F61" i="5"/>
  <c r="G61" i="5"/>
  <c r="H61" i="5"/>
  <c r="J61" i="5"/>
  <c r="D62" i="5"/>
  <c r="E62" i="5"/>
  <c r="F62" i="5"/>
  <c r="G62" i="5"/>
  <c r="H62" i="5"/>
  <c r="J62" i="5"/>
  <c r="D63" i="5"/>
  <c r="E63" i="5"/>
  <c r="F63" i="5"/>
  <c r="G63" i="5"/>
  <c r="H63" i="5"/>
  <c r="J63" i="5"/>
  <c r="J44" i="5" l="1"/>
  <c r="I52" i="5"/>
  <c r="S29" i="5"/>
  <c r="I62" i="5"/>
  <c r="I58" i="5"/>
  <c r="I56" i="5"/>
  <c r="Q30" i="5"/>
  <c r="I46" i="5"/>
  <c r="G64" i="5"/>
  <c r="I60" i="5"/>
  <c r="I50" i="5"/>
  <c r="I63" i="5"/>
  <c r="I59" i="5"/>
  <c r="I55" i="5"/>
  <c r="I53" i="5"/>
  <c r="I49" i="5"/>
  <c r="I45" i="5"/>
  <c r="I61" i="5"/>
  <c r="I57" i="5"/>
  <c r="I51" i="5"/>
  <c r="I43" i="5"/>
  <c r="J48" i="5" l="1"/>
  <c r="R30" i="5"/>
  <c r="S30" i="5" s="1"/>
  <c r="S11" i="5"/>
  <c r="S9" i="5"/>
  <c r="J54" i="5"/>
  <c r="P33" i="5"/>
  <c r="H54" i="5" l="1"/>
  <c r="I54" i="5" s="1"/>
  <c r="F48" i="5"/>
  <c r="F64" i="5" s="1"/>
  <c r="H47" i="5"/>
  <c r="I47" i="5" s="1"/>
  <c r="E48" i="5"/>
  <c r="E64" i="5" s="1"/>
  <c r="D48" i="5"/>
  <c r="D44" i="5"/>
  <c r="I44" i="5" s="1"/>
  <c r="J64" i="5"/>
  <c r="J65" i="5" s="1"/>
  <c r="H64" i="5" l="1"/>
  <c r="D64" i="5"/>
  <c r="I48" i="5"/>
  <c r="I64" i="5" l="1"/>
  <c r="I65" i="5" s="1"/>
  <c r="F100" i="1"/>
  <c r="E100" i="1"/>
  <c r="D100" i="1"/>
  <c r="D99" i="1"/>
  <c r="E99" i="1"/>
  <c r="F99" i="1"/>
  <c r="F98" i="1"/>
  <c r="E98" i="1"/>
  <c r="D98" i="1"/>
  <c r="D97" i="1"/>
  <c r="E97" i="1"/>
  <c r="F97" i="1"/>
  <c r="K67" i="5" l="1"/>
  <c r="N2" i="5"/>
  <c r="O2" i="5" s="1"/>
  <c r="D101" i="1"/>
  <c r="E101" i="1"/>
  <c r="F101" i="1"/>
  <c r="G101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D107" i="1"/>
  <c r="E107" i="1"/>
  <c r="F107" i="1"/>
  <c r="G107" i="1"/>
  <c r="D108" i="1"/>
  <c r="E108" i="1"/>
  <c r="F108" i="1"/>
  <c r="G108" i="1"/>
  <c r="D109" i="1"/>
  <c r="E109" i="1"/>
  <c r="F109" i="1"/>
  <c r="D110" i="1"/>
  <c r="E110" i="1"/>
  <c r="F110" i="1"/>
  <c r="G110" i="1"/>
  <c r="D111" i="1"/>
  <c r="E111" i="1"/>
  <c r="F111" i="1"/>
  <c r="G111" i="1"/>
  <c r="D112" i="1"/>
  <c r="E112" i="1"/>
  <c r="F112" i="1"/>
  <c r="G112" i="1"/>
  <c r="G103" i="1"/>
  <c r="F103" i="1"/>
  <c r="E103" i="1"/>
  <c r="D103" i="1"/>
  <c r="G102" i="1"/>
  <c r="F102" i="1"/>
  <c r="E102" i="1"/>
  <c r="D102" i="1"/>
  <c r="D94" i="1"/>
  <c r="E94" i="1"/>
  <c r="F94" i="1"/>
  <c r="D95" i="1"/>
  <c r="E95" i="1"/>
  <c r="F95" i="1"/>
  <c r="G95" i="1"/>
  <c r="D96" i="1"/>
  <c r="E96" i="1"/>
  <c r="F96" i="1"/>
  <c r="G96" i="1"/>
  <c r="D93" i="1"/>
  <c r="E93" i="1"/>
  <c r="F93" i="1"/>
  <c r="I100" i="1" l="1"/>
  <c r="G100" i="1" l="1"/>
  <c r="P9" i="1" l="1"/>
  <c r="R9" i="1" l="1"/>
  <c r="I109" i="1"/>
  <c r="I110" i="1" l="1"/>
  <c r="I98" i="1"/>
  <c r="G98" i="1" l="1"/>
  <c r="H110" i="1"/>
  <c r="H98" i="1" l="1"/>
  <c r="P79" i="1"/>
  <c r="Q79" i="1" s="1"/>
  <c r="R79" i="1" s="1"/>
  <c r="P78" i="1"/>
  <c r="Q78" i="1" s="1"/>
  <c r="R78" i="1" s="1"/>
  <c r="P77" i="1"/>
  <c r="Q77" i="1" s="1"/>
  <c r="R77" i="1" s="1"/>
  <c r="P17" i="1"/>
  <c r="R17" i="1" l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I101" i="1" l="1"/>
  <c r="I102" i="1"/>
  <c r="I106" i="1"/>
  <c r="I111" i="1"/>
  <c r="I112" i="1"/>
  <c r="H112" i="1" l="1"/>
  <c r="H101" i="1"/>
  <c r="H111" i="1"/>
  <c r="H106" i="1"/>
  <c r="H102" i="1"/>
  <c r="P12" i="1"/>
  <c r="R12" i="1" l="1"/>
  <c r="I108" i="1"/>
  <c r="I107" i="1" l="1"/>
  <c r="H108" i="1"/>
  <c r="H107" i="1"/>
  <c r="L80" i="1" l="1"/>
  <c r="M80" i="1" s="1"/>
  <c r="I97" i="1" l="1"/>
  <c r="I99" i="1"/>
  <c r="I103" i="1" l="1"/>
  <c r="I95" i="1"/>
  <c r="G99" i="1" l="1"/>
  <c r="I105" i="1"/>
  <c r="P80" i="1" l="1"/>
  <c r="O83" i="1" s="1"/>
  <c r="H105" i="1"/>
  <c r="H100" i="1"/>
  <c r="F113" i="1"/>
  <c r="E113" i="1"/>
  <c r="D113" i="1"/>
  <c r="Q80" i="1" l="1"/>
  <c r="R80" i="1" s="1"/>
  <c r="I96" i="1"/>
  <c r="I104" i="1"/>
  <c r="H95" i="1"/>
  <c r="I94" i="1"/>
  <c r="I93" i="1"/>
  <c r="H96" i="1"/>
  <c r="G93" i="1"/>
  <c r="G97" i="1"/>
  <c r="H97" i="1" s="1"/>
  <c r="G94" i="1" l="1"/>
  <c r="H94" i="1" s="1"/>
  <c r="G109" i="1"/>
  <c r="H109" i="1" s="1"/>
  <c r="H103" i="1"/>
  <c r="H104" i="1"/>
  <c r="H93" i="1"/>
  <c r="I113" i="1"/>
  <c r="H99" i="1" l="1"/>
  <c r="G113" i="1"/>
  <c r="H113" i="1" s="1"/>
  <c r="I114" i="1" s="1"/>
  <c r="J116" i="1" l="1"/>
  <c r="M2" i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Heather Tippin</author>
  </authors>
  <commentList>
    <comment ref="M8" authorId="0" shapeId="0" xr:uid="{00000000-0006-0000-0100-000002000000}">
      <text>
        <r>
          <rPr>
            <sz val="8"/>
            <color indexed="81"/>
            <rFont val="Tahoma"/>
            <family val="2"/>
          </rPr>
          <t>Based on CRA rate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Heather Tippin</author>
  </authors>
  <commentList>
    <comment ref="H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expense forms should not overlap previous or later forms
</t>
        </r>
      </text>
    </comment>
    <comment ref="L8" authorId="0" shapeId="0" xr:uid="{00000000-0006-0000-0000-000002000000}">
      <text>
        <r>
          <rPr>
            <sz val="8"/>
            <color indexed="81"/>
            <rFont val="Tahoma"/>
            <family val="2"/>
          </rPr>
          <t>Based on CRA rate</t>
        </r>
      </text>
    </comment>
  </commentList>
</comments>
</file>

<file path=xl/sharedStrings.xml><?xml version="1.0" encoding="utf-8"?>
<sst xmlns="http://schemas.openxmlformats.org/spreadsheetml/2006/main" count="310" uniqueCount="65">
  <si>
    <t>Name</t>
  </si>
  <si>
    <t>Department</t>
  </si>
  <si>
    <t>Corp</t>
  </si>
  <si>
    <t>Period From:</t>
  </si>
  <si>
    <t>To:</t>
  </si>
  <si>
    <r>
      <t xml:space="preserve">Date
</t>
    </r>
    <r>
      <rPr>
        <b/>
        <sz val="8"/>
        <rFont val="Arial"/>
        <family val="2"/>
      </rPr>
      <t>dd-mmm-yy</t>
    </r>
  </si>
  <si>
    <t>Description, vendor, reason for purchase and guest names.</t>
  </si>
  <si>
    <t>Amount</t>
  </si>
  <si>
    <t>Expense Category</t>
  </si>
  <si>
    <t>Mileage</t>
  </si>
  <si>
    <t>Province, State or Country</t>
  </si>
  <si>
    <t>Total  $CAD</t>
  </si>
  <si>
    <t>HST</t>
  </si>
  <si>
    <t>Incl tips</t>
  </si>
  <si>
    <t>Category</t>
  </si>
  <si>
    <t>Dept</t>
  </si>
  <si>
    <t>Total without HST</t>
  </si>
  <si>
    <t>I Certify That the above expenses were incurred by me on behalf of the company</t>
  </si>
  <si>
    <t>Signature:</t>
  </si>
  <si>
    <t>Authorized:</t>
  </si>
  <si>
    <t>Print Name:</t>
  </si>
  <si>
    <t>Date:</t>
  </si>
  <si>
    <t>Sales</t>
  </si>
  <si>
    <t>Mktg</t>
  </si>
  <si>
    <t>Totals</t>
  </si>
  <si>
    <t>Office Supplies</t>
  </si>
  <si>
    <t>Phone/internet</t>
  </si>
  <si>
    <t>Capital</t>
  </si>
  <si>
    <t>Total</t>
  </si>
  <si>
    <t>Intown Travel</t>
  </si>
  <si>
    <t>Other (specify)</t>
  </si>
  <si>
    <t>ON</t>
  </si>
  <si>
    <t>Stamps/Courier</t>
  </si>
  <si>
    <t>INFOR Financial Group - Expense Report</t>
  </si>
  <si>
    <t>Memberships</t>
  </si>
  <si>
    <t>Ops</t>
  </si>
  <si>
    <t xml:space="preserve"> Receipt (Y or N)</t>
  </si>
  <si>
    <t xml:space="preserve">  </t>
  </si>
  <si>
    <t>Currency</t>
  </si>
  <si>
    <t>Rate</t>
  </si>
  <si>
    <t>CAN</t>
  </si>
  <si>
    <t xml:space="preserve"> </t>
  </si>
  <si>
    <t>Donations</t>
  </si>
  <si>
    <t>Insurance</t>
  </si>
  <si>
    <t>Total Owed to Employee:</t>
  </si>
  <si>
    <t>Client</t>
  </si>
  <si>
    <t>Travel</t>
  </si>
  <si>
    <t>Meals</t>
  </si>
  <si>
    <t>Entertainment</t>
  </si>
  <si>
    <t>Meals - Deal Related</t>
  </si>
  <si>
    <t>Ent - Deal Related</t>
  </si>
  <si>
    <t>Software/Subscriptions</t>
  </si>
  <si>
    <t>Mobile phone</t>
  </si>
  <si>
    <t>Training / courses</t>
  </si>
  <si>
    <t>Travel-Deal Related</t>
  </si>
  <si>
    <t>IT Supplies</t>
  </si>
  <si>
    <t>INFOR Financial Inc. - Expense Report</t>
  </si>
  <si>
    <t>[more rows hidden]</t>
  </si>
  <si>
    <t>adj in formula</t>
  </si>
  <si>
    <t>Original Receipt Amount</t>
  </si>
  <si>
    <t>Office Expenses</t>
  </si>
  <si>
    <t>Tate Wilson</t>
  </si>
  <si>
    <t>Sept 4 2024</t>
  </si>
  <si>
    <t>Y</t>
  </si>
  <si>
    <t>Sept 30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</si>
</sst>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0.00;[Red]0.00"/>
    <numFmt numFmtId="169" formatCode="0;[Red]0"/>
    <numFmt numFmtId="170" formatCode="[$-409]dd\-mmm\-yy;@"/>
    <numFmt numFmtId="171" formatCode="#,##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FF"/>
      <name val="Calibri"/>
      <family val="2"/>
      <scheme val="minor"/>
    </font>
    <font>
      <sz val="12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0">
    <xf numFmtId="0" fontId="0" fillId="0" borderId="0" xfId="0"/>
    <xf numFmtId="0" fontId="3" fillId="2" borderId="1" xfId="0" applyFont="1" applyFill="1" applyBorder="1"/>
    <xf numFmtId="0" fontId="6" fillId="2" borderId="1" xfId="0" applyFont="1" applyFill="1" applyBorder="1" applyAlignment="1">
      <alignment vertical="top" wrapText="1"/>
    </xf>
    <xf numFmtId="2" fontId="6" fillId="2" borderId="1" xfId="0" applyNumberFormat="1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167" fontId="8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8" xfId="0" applyFont="1" applyBorder="1"/>
    <xf numFmtId="0" fontId="0" fillId="0" borderId="8" xfId="0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6" fillId="2" borderId="1" xfId="0" applyFont="1" applyFill="1" applyBorder="1"/>
    <xf numFmtId="166" fontId="9" fillId="2" borderId="0" xfId="1" applyFont="1" applyFill="1" applyProtection="1"/>
    <xf numFmtId="166" fontId="9" fillId="2" borderId="10" xfId="1" applyFont="1" applyFill="1" applyBorder="1" applyProtection="1"/>
    <xf numFmtId="166" fontId="9" fillId="2" borderId="5" xfId="1" applyFont="1" applyFill="1" applyBorder="1" applyProtection="1"/>
    <xf numFmtId="0" fontId="6" fillId="2" borderId="10" xfId="0" applyFont="1" applyFill="1" applyBorder="1"/>
    <xf numFmtId="0" fontId="6" fillId="2" borderId="11" xfId="0" applyFont="1" applyFill="1" applyBorder="1"/>
    <xf numFmtId="166" fontId="9" fillId="2" borderId="11" xfId="1" applyFont="1" applyFill="1" applyBorder="1" applyProtection="1"/>
    <xf numFmtId="166" fontId="9" fillId="2" borderId="3" xfId="0" applyNumberFormat="1" applyFont="1" applyFill="1" applyBorder="1"/>
    <xf numFmtId="166" fontId="9" fillId="2" borderId="1" xfId="1" applyFont="1" applyFill="1" applyBorder="1" applyProtection="1"/>
    <xf numFmtId="166" fontId="0" fillId="0" borderId="0" xfId="0" applyNumberFormat="1"/>
    <xf numFmtId="168" fontId="6" fillId="2" borderId="2" xfId="0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0" borderId="9" xfId="0" applyFont="1" applyBorder="1"/>
    <xf numFmtId="0" fontId="0" fillId="0" borderId="12" xfId="0" applyBorder="1"/>
    <xf numFmtId="0" fontId="0" fillId="0" borderId="1" xfId="0" applyBorder="1"/>
    <xf numFmtId="0" fontId="3" fillId="0" borderId="0" xfId="0" applyFont="1"/>
    <xf numFmtId="0" fontId="2" fillId="3" borderId="1" xfId="0" applyFont="1" applyFill="1" applyBorder="1"/>
    <xf numFmtId="168" fontId="0" fillId="0" borderId="1" xfId="0" applyNumberFormat="1" applyBorder="1" applyProtection="1">
      <protection locked="0"/>
    </xf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wrapText="1"/>
    </xf>
    <xf numFmtId="2" fontId="6" fillId="2" borderId="1" xfId="0" applyNumberFormat="1" applyFont="1" applyFill="1" applyBorder="1" applyAlignment="1">
      <alignment wrapText="1"/>
    </xf>
    <xf numFmtId="0" fontId="13" fillId="0" borderId="0" xfId="0" applyFont="1"/>
    <xf numFmtId="168" fontId="6" fillId="2" borderId="5" xfId="0" applyNumberFormat="1" applyFont="1" applyFill="1" applyBorder="1"/>
    <xf numFmtId="9" fontId="0" fillId="0" borderId="0" xfId="0" applyNumberFormat="1"/>
    <xf numFmtId="0" fontId="0" fillId="0" borderId="15" xfId="0" applyBorder="1"/>
    <xf numFmtId="0" fontId="6" fillId="0" borderId="0" xfId="0" applyFont="1"/>
    <xf numFmtId="0" fontId="6" fillId="2" borderId="2" xfId="0" applyFont="1" applyFill="1" applyBorder="1"/>
    <xf numFmtId="0" fontId="6" fillId="2" borderId="3" xfId="0" applyFont="1" applyFill="1" applyBorder="1"/>
    <xf numFmtId="169" fontId="8" fillId="2" borderId="5" xfId="0" applyNumberFormat="1" applyFont="1" applyFill="1" applyBorder="1"/>
    <xf numFmtId="0" fontId="8" fillId="2" borderId="10" xfId="0" applyFont="1" applyFill="1" applyBorder="1"/>
    <xf numFmtId="0" fontId="8" fillId="2" borderId="11" xfId="0" applyFont="1" applyFill="1" applyBorder="1"/>
    <xf numFmtId="170" fontId="0" fillId="0" borderId="1" xfId="0" applyNumberFormat="1" applyBorder="1" applyAlignment="1">
      <alignment horizontal="right"/>
    </xf>
    <xf numFmtId="170" fontId="0" fillId="0" borderId="1" xfId="0" applyNumberFormat="1" applyBorder="1"/>
    <xf numFmtId="44" fontId="0" fillId="0" borderId="1" xfId="1" applyNumberFormat="1" applyFont="1" applyFill="1" applyBorder="1"/>
    <xf numFmtId="44" fontId="0" fillId="4" borderId="1" xfId="0" applyNumberFormat="1" applyFill="1" applyBorder="1" applyAlignment="1">
      <alignment horizontal="right" wrapText="1"/>
    </xf>
    <xf numFmtId="44" fontId="0" fillId="4" borderId="1" xfId="1" applyNumberFormat="1" applyFont="1" applyFill="1" applyBorder="1"/>
    <xf numFmtId="44" fontId="0" fillId="4" borderId="1" xfId="0" applyNumberFormat="1" applyFill="1" applyBorder="1"/>
    <xf numFmtId="44" fontId="0" fillId="4" borderId="5" xfId="0" applyNumberFormat="1" applyFill="1" applyBorder="1"/>
    <xf numFmtId="44" fontId="0" fillId="0" borderId="5" xfId="0" applyNumberFormat="1" applyBorder="1"/>
    <xf numFmtId="0" fontId="0" fillId="3" borderId="1" xfId="0" applyFill="1" applyBorder="1"/>
    <xf numFmtId="44" fontId="9" fillId="0" borderId="1" xfId="2" applyNumberFormat="1" applyFont="1" applyFill="1" applyBorder="1" applyProtection="1"/>
    <xf numFmtId="165" fontId="9" fillId="0" borderId="1" xfId="2" applyFont="1" applyFill="1" applyBorder="1" applyProtection="1"/>
    <xf numFmtId="171" fontId="14" fillId="0" borderId="16" xfId="0" applyNumberFormat="1" applyFont="1" applyBorder="1" applyAlignment="1">
      <alignment horizontal="right" vertical="top"/>
    </xf>
    <xf numFmtId="171" fontId="14" fillId="0" borderId="17" xfId="0" applyNumberFormat="1" applyFont="1" applyBorder="1" applyAlignment="1">
      <alignment horizontal="right" vertical="top"/>
    </xf>
    <xf numFmtId="171" fontId="14" fillId="0" borderId="18" xfId="0" applyNumberFormat="1" applyFont="1" applyBorder="1" applyAlignment="1">
      <alignment horizontal="right" vertical="top"/>
    </xf>
    <xf numFmtId="171" fontId="14" fillId="0" borderId="1" xfId="0" applyNumberFormat="1" applyFont="1" applyBorder="1" applyAlignment="1">
      <alignment horizontal="right" vertical="top"/>
    </xf>
    <xf numFmtId="170" fontId="14" fillId="0" borderId="1" xfId="0" applyNumberFormat="1" applyFont="1" applyBorder="1" applyAlignment="1">
      <alignment horizontal="right"/>
    </xf>
    <xf numFmtId="44" fontId="14" fillId="0" borderId="1" xfId="1" applyNumberFormat="1" applyFont="1" applyFill="1" applyBorder="1"/>
    <xf numFmtId="44" fontId="9" fillId="5" borderId="1" xfId="2" applyNumberFormat="1" applyFont="1" applyFill="1" applyBorder="1" applyProtection="1"/>
    <xf numFmtId="0" fontId="2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top" wrapText="1"/>
    </xf>
    <xf numFmtId="15" fontId="0" fillId="0" borderId="4" xfId="0" applyNumberFormat="1" applyBorder="1"/>
    <xf numFmtId="15" fontId="14" fillId="0" borderId="4" xfId="0" applyNumberFormat="1" applyFont="1" applyBorder="1"/>
    <xf numFmtId="166" fontId="0" fillId="0" borderId="1" xfId="0" applyNumberFormat="1" applyBorder="1"/>
    <xf numFmtId="166" fontId="9" fillId="2" borderId="4" xfId="0" applyNumberFormat="1" applyFont="1" applyFill="1" applyBorder="1"/>
    <xf numFmtId="44" fontId="6" fillId="5" borderId="0" xfId="0" applyNumberFormat="1" applyFont="1" applyFill="1" applyAlignment="1">
      <alignment horizontal="right"/>
    </xf>
    <xf numFmtId="0" fontId="6" fillId="2" borderId="9" xfId="0" applyFont="1" applyFill="1" applyBorder="1"/>
    <xf numFmtId="0" fontId="15" fillId="3" borderId="10" xfId="0" applyFont="1" applyFill="1" applyBorder="1"/>
    <xf numFmtId="43" fontId="0" fillId="0" borderId="0" xfId="0" applyNumberFormat="1"/>
    <xf numFmtId="166" fontId="0" fillId="4" borderId="1" xfId="1" applyFont="1" applyFill="1" applyBorder="1"/>
    <xf numFmtId="166" fontId="0" fillId="0" borderId="1" xfId="1" applyFont="1" applyBorder="1"/>
    <xf numFmtId="166" fontId="0" fillId="4" borderId="5" xfId="1" applyFont="1" applyFill="1" applyBorder="1"/>
    <xf numFmtId="15" fontId="0" fillId="0" borderId="1" xfId="0" applyNumberFormat="1" applyBorder="1"/>
    <xf numFmtId="170" fontId="16" fillId="0" borderId="1" xfId="0" applyNumberFormat="1" applyFont="1" applyBorder="1"/>
    <xf numFmtId="44" fontId="16" fillId="0" borderId="1" xfId="1" applyNumberFormat="1" applyFont="1" applyFill="1" applyBorder="1"/>
    <xf numFmtId="170" fontId="16" fillId="0" borderId="1" xfId="0" applyNumberFormat="1" applyFont="1" applyBorder="1" applyAlignment="1">
      <alignment horizontal="right"/>
    </xf>
    <xf numFmtId="44" fontId="16" fillId="0" borderId="1" xfId="1" applyNumberFormat="1" applyFont="1" applyBorder="1"/>
    <xf numFmtId="15" fontId="0" fillId="0" borderId="2" xfId="0" applyNumberFormat="1" applyBorder="1"/>
    <xf numFmtId="15" fontId="0" fillId="0" borderId="3" xfId="0" applyNumberFormat="1" applyBorder="1"/>
    <xf numFmtId="170" fontId="16" fillId="0" borderId="5" xfId="0" applyNumberFormat="1" applyFont="1" applyBorder="1"/>
    <xf numFmtId="170" fontId="16" fillId="0" borderId="11" xfId="0" applyNumberFormat="1" applyFont="1" applyBorder="1" applyAlignment="1">
      <alignment horizontal="right"/>
    </xf>
    <xf numFmtId="44" fontId="16" fillId="0" borderId="4" xfId="1" applyNumberFormat="1" applyFont="1" applyFill="1" applyBorder="1"/>
    <xf numFmtId="170" fontId="16" fillId="0" borderId="19" xfId="0" applyNumberFormat="1" applyFont="1" applyBorder="1"/>
    <xf numFmtId="0" fontId="0" fillId="0" borderId="1" xfId="0" applyBorder="1" applyAlignment="1">
      <alignment horizontal="center"/>
    </xf>
    <xf numFmtId="0" fontId="4" fillId="0" borderId="2" xfId="0" applyFont="1" applyBorder="1" applyProtection="1">
      <protection locked="0"/>
    </xf>
    <xf numFmtId="0" fontId="4" fillId="0" borderId="4" xfId="0" applyFont="1" applyBorder="1" applyProtection="1">
      <protection locked="0"/>
    </xf>
    <xf numFmtId="15" fontId="17" fillId="0" borderId="2" xfId="0" applyNumberFormat="1" applyFont="1" applyBorder="1" applyAlignment="1" applyProtection="1">
      <alignment horizontal="left"/>
      <protection locked="0"/>
    </xf>
    <xf numFmtId="15" fontId="4" fillId="0" borderId="3" xfId="0" applyNumberFormat="1" applyFont="1" applyBorder="1" applyAlignment="1" applyProtection="1">
      <alignment horizontal="left"/>
      <protection locked="0"/>
    </xf>
    <xf numFmtId="15" fontId="4" fillId="0" borderId="4" xfId="0" applyNumberFormat="1" applyFont="1" applyBorder="1" applyAlignment="1" applyProtection="1">
      <alignment horizontal="left"/>
      <protection locked="0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15" fontId="17" fillId="0" borderId="2" xfId="0" applyNumberFormat="1" applyFont="1" applyBorder="1" applyAlignment="1" applyProtection="1">
      <alignment horizontal="center"/>
      <protection locked="0"/>
    </xf>
    <xf numFmtId="15" fontId="4" fillId="0" borderId="4" xfId="0" applyNumberFormat="1" applyFont="1" applyBorder="1" applyAlignment="1" applyProtection="1">
      <alignment horizontal="center"/>
      <protection locked="0"/>
    </xf>
    <xf numFmtId="15" fontId="0" fillId="0" borderId="2" xfId="0" applyNumberFormat="1" applyBorder="1"/>
    <xf numFmtId="15" fontId="0" fillId="0" borderId="3" xfId="0" applyNumberFormat="1" applyBorder="1"/>
    <xf numFmtId="15" fontId="0" fillId="0" borderId="4" xfId="0" applyNumberFormat="1" applyBorder="1"/>
    <xf numFmtId="0" fontId="6" fillId="2" borderId="2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 applyProtection="1">
      <alignment horizontal="left"/>
      <protection locked="0"/>
    </xf>
    <xf numFmtId="49" fontId="4" fillId="0" borderId="3" xfId="0" applyNumberFormat="1" applyFont="1" applyBorder="1" applyAlignment="1" applyProtection="1">
      <alignment horizontal="left"/>
      <protection locked="0"/>
    </xf>
    <xf numFmtId="49" fontId="4" fillId="0" borderId="4" xfId="0" applyNumberFormat="1" applyFont="1" applyBorder="1" applyAlignment="1" applyProtection="1">
      <alignment horizontal="left"/>
      <protection locked="0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6" fillId="5" borderId="0" xfId="0" applyFont="1" applyFill="1" applyAlignment="1">
      <alignment horizontal="right"/>
    </xf>
    <xf numFmtId="0" fontId="0" fillId="0" borderId="3" xfId="0" applyBorder="1"/>
    <xf numFmtId="0" fontId="0" fillId="0" borderId="4" xfId="0" applyBorder="1"/>
    <xf numFmtId="15" fontId="0" fillId="0" borderId="2" xfId="0" applyNumberFormat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15" fontId="4" fillId="0" borderId="2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top" wrapText="1"/>
    </xf>
    <xf numFmtId="15" fontId="4" fillId="0" borderId="2" xfId="0" applyNumberFormat="1" applyFont="1" applyBorder="1" applyAlignment="1" applyProtection="1">
      <alignment horizontal="left"/>
      <protection locked="0"/>
    </xf>
  </cellXfs>
  <cellStyles count="3">
    <cellStyle name="Comma" xfId="1" builtinId="3"/>
    <cellStyle name="Currency" xfId="2" builtinId="4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485775</xdr:colOff>
      <xdr:row>0</xdr:row>
      <xdr:rowOff>190500</xdr:rowOff>
    </xdr:from>
    <xdr:to>
      <xdr:col>20</xdr:col>
      <xdr:colOff>828675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0" y="190500"/>
          <a:ext cx="202882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485776</xdr:colOff>
      <xdr:row>0</xdr:row>
      <xdr:rowOff>104776</xdr:rowOff>
    </xdr:from>
    <xdr:to>
      <xdr:col>18</xdr:col>
      <xdr:colOff>169382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6" y="104776"/>
          <a:ext cx="2398231" cy="81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70"/>
  <sheetViews>
    <sheetView showGridLines="0" showZeros="0" tabSelected="1" workbookViewId="0">
      <selection activeCell="C13" sqref="C12:H13"/>
    </sheetView>
  </sheetViews>
  <sheetFormatPr defaultRowHeight="15" x14ac:dyDescent="0.25"/>
  <cols>
    <col min="1" max="1" width="4" bestFit="1" customWidth="1"/>
    <col min="2" max="2" width="21.7109375" customWidth="1"/>
    <col min="3" max="3" width="15.7109375" customWidth="1"/>
    <col min="4" max="8" width="10.7109375" bestFit="1" customWidth="1"/>
    <col min="9" max="9" width="12.140625" bestFit="1" customWidth="1"/>
    <col min="10" max="10" width="11.85546875" customWidth="1"/>
    <col min="11" max="11" width="19.42578125" bestFit="1" customWidth="1"/>
    <col min="12" max="12" width="19.28515625" customWidth="1"/>
    <col min="13" max="13" width="8.28515625" bestFit="1" customWidth="1"/>
    <col min="14" max="14" width="14.140625" customWidth="1"/>
    <col min="15" max="15" width="9.140625" bestFit="1" customWidth="1"/>
    <col min="16" max="16" width="8.7109375" bestFit="1" customWidth="1"/>
    <col min="17" max="17" width="11.5703125" bestFit="1" customWidth="1"/>
    <col min="18" max="18" width="8.7109375" bestFit="1" customWidth="1"/>
    <col min="19" max="19" width="9.85546875" bestFit="1" customWidth="1"/>
    <col min="20" max="20" width="8.28515625" customWidth="1"/>
    <col min="21" max="21" width="8.28515625" hidden="1" customWidth="1"/>
    <col min="22" max="22" width="13" customWidth="1"/>
    <col min="23" max="23" width="12" customWidth="1"/>
    <col min="24" max="24" width="13.7109375" customWidth="1"/>
  </cols>
  <sheetData>
    <row r="1" spans="1:21" ht="15.75" thickBot="1" x14ac:dyDescent="0.3"/>
    <row r="2" spans="1:21" ht="21.75" thickBot="1" x14ac:dyDescent="0.4">
      <c r="B2" s="37" t="s">
        <v>56</v>
      </c>
      <c r="C2" s="38"/>
      <c r="D2" s="38"/>
      <c r="E2" s="39"/>
      <c r="F2" s="38"/>
      <c r="G2" s="38"/>
      <c r="H2" s="46"/>
      <c r="N2" s="25">
        <f>J64+I64-Q30</f>
        <v>0</v>
      </c>
      <c r="O2" s="43" t="str">
        <f>IF(N2&lt;0,"Category or Dept Missing!","")</f>
        <v/>
      </c>
    </row>
    <row r="4" spans="1:21" ht="15.75" x14ac:dyDescent="0.25">
      <c r="B4" s="1" t="s">
        <v>0</v>
      </c>
      <c r="C4" s="114"/>
      <c r="D4" s="115"/>
      <c r="E4" s="116"/>
      <c r="F4" s="117" t="s">
        <v>1</v>
      </c>
      <c r="G4" s="118"/>
      <c r="H4" s="119"/>
      <c r="I4" s="96"/>
      <c r="J4" s="97"/>
    </row>
    <row r="5" spans="1:21" ht="15.75" x14ac:dyDescent="0.25">
      <c r="B5" s="1" t="s">
        <v>3</v>
      </c>
      <c r="C5" s="98"/>
      <c r="D5" s="99"/>
      <c r="E5" s="100"/>
      <c r="F5" s="101" t="s">
        <v>4</v>
      </c>
      <c r="G5" s="102"/>
      <c r="H5" s="103"/>
      <c r="I5" s="104"/>
      <c r="J5" s="105"/>
    </row>
    <row r="7" spans="1:21" ht="48.75" customHeight="1" x14ac:dyDescent="0.25">
      <c r="B7" s="40" t="s">
        <v>5</v>
      </c>
      <c r="C7" s="109" t="s">
        <v>6</v>
      </c>
      <c r="D7" s="110"/>
      <c r="E7" s="110"/>
      <c r="F7" s="110"/>
      <c r="G7" s="110"/>
      <c r="H7" s="111"/>
      <c r="I7" s="71"/>
      <c r="J7" s="30" t="s">
        <v>7</v>
      </c>
      <c r="K7" s="41" t="s">
        <v>8</v>
      </c>
      <c r="L7" s="41" t="s">
        <v>45</v>
      </c>
      <c r="M7" s="41" t="s">
        <v>9</v>
      </c>
      <c r="N7" s="41" t="s">
        <v>10</v>
      </c>
      <c r="O7" s="41" t="s">
        <v>38</v>
      </c>
      <c r="P7" s="41" t="s">
        <v>39</v>
      </c>
      <c r="Q7" s="42" t="s">
        <v>11</v>
      </c>
      <c r="R7" s="30" t="s">
        <v>12</v>
      </c>
      <c r="S7" s="30" t="s">
        <v>16</v>
      </c>
      <c r="T7" s="30" t="s">
        <v>36</v>
      </c>
      <c r="U7" s="30" t="s">
        <v>59</v>
      </c>
    </row>
    <row r="8" spans="1:21" x14ac:dyDescent="0.25">
      <c r="B8" s="2"/>
      <c r="C8" s="112"/>
      <c r="D8" s="113"/>
      <c r="E8" s="4"/>
      <c r="F8" s="4"/>
      <c r="G8" s="4"/>
      <c r="H8" s="4"/>
      <c r="I8" s="72"/>
      <c r="J8" s="5" t="s">
        <v>13</v>
      </c>
      <c r="K8" s="5"/>
      <c r="L8" s="5"/>
      <c r="M8" s="6">
        <v>0.55000000000000004</v>
      </c>
      <c r="N8" s="2"/>
      <c r="O8" s="2"/>
      <c r="P8" s="2"/>
      <c r="Q8" s="3"/>
      <c r="R8" s="3"/>
      <c r="S8" s="3"/>
      <c r="T8" s="61"/>
      <c r="U8" s="61"/>
    </row>
    <row r="9" spans="1:21" x14ac:dyDescent="0.25">
      <c r="A9">
        <v>1</v>
      </c>
      <c r="B9" s="87"/>
      <c r="C9" s="106"/>
      <c r="D9" s="107"/>
      <c r="E9" s="107"/>
      <c r="F9" s="107"/>
      <c r="G9" s="107"/>
      <c r="H9" s="108"/>
      <c r="I9" s="73"/>
      <c r="J9" s="86"/>
      <c r="K9" s="36" t="s">
        <v>54</v>
      </c>
      <c r="L9" s="36"/>
      <c r="M9" s="33"/>
      <c r="N9" s="33" t="s">
        <v>31</v>
      </c>
      <c r="O9" s="33" t="s">
        <v>40</v>
      </c>
      <c r="P9" s="64">
        <v>1</v>
      </c>
      <c r="Q9" s="81">
        <f t="shared" ref="Q9:Q29" si="0">J9+M9*M$8</f>
        <v>0</v>
      </c>
      <c r="R9" s="82">
        <f t="shared" ref="R9:R18" si="1">Q9/1.13*0.13</f>
        <v>0</v>
      </c>
      <c r="S9" s="81">
        <f>Q9-R9</f>
        <v>0</v>
      </c>
      <c r="T9" s="95" t="s">
        <v>63</v>
      </c>
      <c r="U9" s="33"/>
    </row>
    <row r="10" spans="1:21" x14ac:dyDescent="0.25">
      <c r="A10">
        <f>A9+1</f>
        <v>2</v>
      </c>
      <c r="B10" s="85"/>
      <c r="C10" s="106"/>
      <c r="D10" s="107"/>
      <c r="E10" s="107"/>
      <c r="F10" s="107"/>
      <c r="G10" s="107"/>
      <c r="H10" s="108"/>
      <c r="I10" s="86"/>
      <c r="J10" s="86"/>
      <c r="K10" s="36" t="s">
        <v>49</v>
      </c>
      <c r="L10" s="36"/>
      <c r="M10" s="33"/>
      <c r="N10" s="33" t="s">
        <v>31</v>
      </c>
      <c r="O10" s="33" t="s">
        <v>40</v>
      </c>
      <c r="P10" s="64">
        <v>1</v>
      </c>
      <c r="Q10" s="81">
        <f t="shared" si="0"/>
        <v>0</v>
      </c>
      <c r="R10" s="82">
        <f t="shared" si="1"/>
        <v>0</v>
      </c>
      <c r="S10" s="81">
        <f>Q10-R10</f>
        <v>0</v>
      </c>
      <c r="T10" s="95" t="s">
        <v>63</v>
      </c>
      <c r="U10" s="33"/>
    </row>
    <row r="11" spans="1:21" x14ac:dyDescent="0.25">
      <c r="A11">
        <f t="shared" ref="A11:A12" si="2">A10+1</f>
        <v>3</v>
      </c>
      <c r="B11" s="91"/>
      <c r="C11" s="106"/>
      <c r="D11" s="107"/>
      <c r="E11" s="107"/>
      <c r="F11" s="107"/>
      <c r="G11" s="107"/>
      <c r="H11" s="108"/>
      <c r="I11" s="86"/>
      <c r="J11" s="86"/>
      <c r="K11" s="36"/>
      <c r="L11" s="36"/>
      <c r="M11" s="33"/>
      <c r="N11" s="33" t="s">
        <v>31</v>
      </c>
      <c r="O11" s="33" t="s">
        <v>40</v>
      </c>
      <c r="P11" s="64">
        <v>1</v>
      </c>
      <c r="Q11" s="81">
        <f t="shared" si="0"/>
        <v>0</v>
      </c>
      <c r="R11" s="82">
        <f t="shared" si="1"/>
        <v>0</v>
      </c>
      <c r="S11" s="81">
        <f t="shared" ref="S11:S30" si="3">Q11-R11</f>
        <v>0</v>
      </c>
      <c r="T11" s="95" t="s">
        <v>63</v>
      </c>
      <c r="U11" s="33"/>
    </row>
    <row r="12" spans="1:21" ht="15" customHeight="1" x14ac:dyDescent="0.25">
      <c r="A12">
        <f t="shared" si="2"/>
        <v>4</v>
      </c>
      <c r="B12" s="91"/>
      <c r="C12" s="106"/>
      <c r="D12" s="107"/>
      <c r="E12" s="107"/>
      <c r="F12" s="107"/>
      <c r="G12" s="107"/>
      <c r="H12" s="108"/>
      <c r="I12" s="93"/>
      <c r="J12" s="86"/>
      <c r="K12" s="36"/>
      <c r="L12" s="36"/>
      <c r="M12" s="33"/>
      <c r="N12" s="33" t="s">
        <v>31</v>
      </c>
      <c r="O12" s="33" t="s">
        <v>40</v>
      </c>
      <c r="P12" s="64">
        <v>1</v>
      </c>
      <c r="Q12" s="81">
        <f t="shared" si="0"/>
        <v>0</v>
      </c>
      <c r="R12" s="82">
        <f t="shared" si="1"/>
        <v>0</v>
      </c>
      <c r="S12" s="81">
        <f t="shared" si="3"/>
        <v>0</v>
      </c>
      <c r="T12" s="95" t="s">
        <v>63</v>
      </c>
      <c r="U12" s="75"/>
    </row>
    <row r="13" spans="1:21" x14ac:dyDescent="0.25">
      <c r="A13">
        <v>5</v>
      </c>
      <c r="B13" s="94"/>
      <c r="C13" s="106"/>
      <c r="D13" s="107"/>
      <c r="E13" s="107"/>
      <c r="F13" s="107"/>
      <c r="G13" s="107"/>
      <c r="H13" s="108"/>
      <c r="I13" s="73"/>
      <c r="J13" s="86"/>
      <c r="K13" s="36"/>
      <c r="L13" s="36"/>
      <c r="M13" s="33"/>
      <c r="N13" s="33" t="s">
        <v>31</v>
      </c>
      <c r="O13" s="33" t="s">
        <v>40</v>
      </c>
      <c r="P13" s="64">
        <v>1</v>
      </c>
      <c r="Q13" s="81">
        <f t="shared" si="0"/>
        <v>0</v>
      </c>
      <c r="R13" s="82">
        <f t="shared" si="1"/>
        <v>0</v>
      </c>
      <c r="S13" s="81">
        <f t="shared" si="3"/>
        <v>0</v>
      </c>
      <c r="T13" s="95" t="s">
        <v>63</v>
      </c>
      <c r="U13" s="75"/>
    </row>
    <row r="14" spans="1:21" x14ac:dyDescent="0.25">
      <c r="A14">
        <v>6</v>
      </c>
      <c r="B14" s="92"/>
      <c r="C14" s="106"/>
      <c r="D14" s="107"/>
      <c r="E14" s="107"/>
      <c r="F14" s="107"/>
      <c r="G14" s="107"/>
      <c r="H14" s="108"/>
      <c r="I14" s="73"/>
      <c r="J14" s="86"/>
      <c r="K14" s="36"/>
      <c r="L14" s="36"/>
      <c r="M14" s="33"/>
      <c r="N14" s="33" t="s">
        <v>31</v>
      </c>
      <c r="O14" s="33" t="s">
        <v>40</v>
      </c>
      <c r="P14" s="64">
        <v>1</v>
      </c>
      <c r="Q14" s="81">
        <f t="shared" ref="Q14:Q26" si="4">J14+M14*M$8</f>
        <v>0</v>
      </c>
      <c r="R14" s="82">
        <f t="shared" si="1"/>
        <v>0</v>
      </c>
      <c r="S14" s="81">
        <f t="shared" ref="S14:S26" si="5">Q14-R14</f>
        <v>0</v>
      </c>
      <c r="T14" s="95" t="s">
        <v>63</v>
      </c>
      <c r="U14" s="33"/>
    </row>
    <row r="15" spans="1:21" x14ac:dyDescent="0.25">
      <c r="A15">
        <v>7</v>
      </c>
      <c r="B15" s="85"/>
      <c r="C15" s="106"/>
      <c r="D15" s="107"/>
      <c r="E15" s="107"/>
      <c r="F15" s="107"/>
      <c r="G15" s="107"/>
      <c r="H15" s="108"/>
      <c r="I15" s="73"/>
      <c r="J15" s="86"/>
      <c r="K15" s="36"/>
      <c r="L15" s="36"/>
      <c r="M15" s="33"/>
      <c r="N15" s="33" t="s">
        <v>31</v>
      </c>
      <c r="O15" s="33" t="s">
        <v>40</v>
      </c>
      <c r="P15" s="64">
        <v>1</v>
      </c>
      <c r="Q15" s="81">
        <f t="shared" si="4"/>
        <v>0</v>
      </c>
      <c r="R15" s="82">
        <f t="shared" si="1"/>
        <v>0</v>
      </c>
      <c r="S15" s="81">
        <f t="shared" si="5"/>
        <v>0</v>
      </c>
      <c r="T15" s="95" t="s">
        <v>63</v>
      </c>
      <c r="U15" s="75"/>
    </row>
    <row r="16" spans="1:21" x14ac:dyDescent="0.25">
      <c r="A16">
        <v>8</v>
      </c>
      <c r="B16" s="85"/>
      <c r="C16" s="106"/>
      <c r="D16" s="107"/>
      <c r="E16" s="107"/>
      <c r="F16" s="107"/>
      <c r="G16" s="107"/>
      <c r="H16" s="108"/>
      <c r="I16" s="73"/>
      <c r="J16" s="86"/>
      <c r="K16" s="36"/>
      <c r="L16" s="36"/>
      <c r="M16" s="33"/>
      <c r="N16" s="33" t="s">
        <v>31</v>
      </c>
      <c r="O16" s="33" t="s">
        <v>40</v>
      </c>
      <c r="P16" s="64">
        <v>1</v>
      </c>
      <c r="Q16" s="81">
        <f t="shared" ref="Q16" si="6">J16+M16*M$8</f>
        <v>0</v>
      </c>
      <c r="R16" s="82">
        <f t="shared" si="1"/>
        <v>0</v>
      </c>
      <c r="S16" s="81">
        <f t="shared" ref="S16" si="7">Q16-R16</f>
        <v>0</v>
      </c>
      <c r="T16" s="95" t="s">
        <v>63</v>
      </c>
      <c r="U16" s="75"/>
    </row>
    <row r="17" spans="1:21" x14ac:dyDescent="0.25">
      <c r="A17">
        <v>9</v>
      </c>
      <c r="B17" s="85"/>
      <c r="C17" s="106"/>
      <c r="D17" s="107"/>
      <c r="E17" s="107"/>
      <c r="F17" s="107"/>
      <c r="G17" s="107"/>
      <c r="H17" s="108"/>
      <c r="I17" s="73"/>
      <c r="J17" s="86"/>
      <c r="K17" s="36"/>
      <c r="L17" s="36"/>
      <c r="M17" s="33"/>
      <c r="N17" s="33" t="s">
        <v>31</v>
      </c>
      <c r="O17" s="33" t="s">
        <v>40</v>
      </c>
      <c r="P17" s="64">
        <v>1</v>
      </c>
      <c r="Q17" s="81">
        <f t="shared" si="4"/>
        <v>0</v>
      </c>
      <c r="R17" s="82">
        <f t="shared" si="1"/>
        <v>0</v>
      </c>
      <c r="S17" s="81">
        <f t="shared" si="5"/>
        <v>0</v>
      </c>
      <c r="T17" s="95" t="s">
        <v>63</v>
      </c>
      <c r="U17" s="33"/>
    </row>
    <row r="18" spans="1:21" x14ac:dyDescent="0.25">
      <c r="A18">
        <v>10</v>
      </c>
      <c r="B18" s="85"/>
      <c r="C18" s="106"/>
      <c r="D18" s="107"/>
      <c r="E18" s="107"/>
      <c r="F18" s="107"/>
      <c r="G18" s="107"/>
      <c r="H18" s="108"/>
      <c r="I18" s="73"/>
      <c r="J18" s="86"/>
      <c r="K18" s="36"/>
      <c r="L18" s="36"/>
      <c r="M18" s="33"/>
      <c r="N18" s="33" t="s">
        <v>31</v>
      </c>
      <c r="O18" s="33" t="s">
        <v>40</v>
      </c>
      <c r="P18" s="64">
        <v>1</v>
      </c>
      <c r="Q18" s="81">
        <f t="shared" si="4"/>
        <v>0</v>
      </c>
      <c r="R18" s="82">
        <f t="shared" si="1"/>
        <v>0</v>
      </c>
      <c r="S18" s="81">
        <f t="shared" si="5"/>
        <v>0</v>
      </c>
      <c r="T18" s="95" t="s">
        <v>63</v>
      </c>
      <c r="U18" s="75"/>
    </row>
    <row r="19" spans="1:21" x14ac:dyDescent="0.25">
      <c r="A19">
        <v>11</v>
      </c>
      <c r="B19" s="85"/>
      <c r="C19" s="106"/>
      <c r="D19" s="107"/>
      <c r="E19" s="107"/>
      <c r="F19" s="107"/>
      <c r="G19" s="107"/>
      <c r="H19" s="108"/>
      <c r="I19" s="73"/>
      <c r="J19" s="86"/>
      <c r="K19" s="36"/>
      <c r="L19" s="36"/>
      <c r="M19" s="33"/>
      <c r="N19" s="33" t="s">
        <v>31</v>
      </c>
      <c r="O19" s="33" t="s">
        <v>40</v>
      </c>
      <c r="P19" s="64">
        <v>1</v>
      </c>
      <c r="Q19" s="81">
        <f t="shared" si="4"/>
        <v>0</v>
      </c>
      <c r="R19" s="82">
        <f t="shared" ref="R19:R29" si="8">Q19/1.13*0.13</f>
        <v>0</v>
      </c>
      <c r="S19" s="81">
        <f t="shared" si="5"/>
        <v>0</v>
      </c>
      <c r="T19" s="95" t="s">
        <v>63</v>
      </c>
      <c r="U19" s="75"/>
    </row>
    <row r="20" spans="1:21" x14ac:dyDescent="0.25">
      <c r="A20">
        <v>12</v>
      </c>
      <c r="B20" s="85"/>
      <c r="C20" s="106"/>
      <c r="D20" s="107"/>
      <c r="E20" s="107"/>
      <c r="F20" s="107"/>
      <c r="G20" s="107"/>
      <c r="H20" s="108"/>
      <c r="I20" s="73"/>
      <c r="J20" s="86"/>
      <c r="K20" s="36"/>
      <c r="L20" s="36"/>
      <c r="M20" s="33"/>
      <c r="N20" s="33" t="s">
        <v>31</v>
      </c>
      <c r="O20" s="33" t="s">
        <v>40</v>
      </c>
      <c r="P20" s="64">
        <v>1</v>
      </c>
      <c r="Q20" s="83">
        <f t="shared" si="4"/>
        <v>0</v>
      </c>
      <c r="R20" s="82">
        <f t="shared" si="8"/>
        <v>0</v>
      </c>
      <c r="S20" s="83">
        <f t="shared" si="5"/>
        <v>0</v>
      </c>
      <c r="T20" s="95" t="s">
        <v>63</v>
      </c>
      <c r="U20" s="75"/>
    </row>
    <row r="21" spans="1:21" x14ac:dyDescent="0.25">
      <c r="A21">
        <v>13</v>
      </c>
      <c r="B21" s="85"/>
      <c r="C21" s="106"/>
      <c r="D21" s="107"/>
      <c r="E21" s="107"/>
      <c r="F21" s="107"/>
      <c r="G21" s="107"/>
      <c r="H21" s="108"/>
      <c r="I21" s="73"/>
      <c r="J21" s="86"/>
      <c r="K21" s="36"/>
      <c r="L21" s="36"/>
      <c r="M21" s="33"/>
      <c r="N21" s="33" t="s">
        <v>31</v>
      </c>
      <c r="O21" s="33" t="s">
        <v>40</v>
      </c>
      <c r="P21" s="64">
        <v>1</v>
      </c>
      <c r="Q21" s="83">
        <f t="shared" si="4"/>
        <v>0</v>
      </c>
      <c r="R21" s="82">
        <f t="shared" si="8"/>
        <v>0</v>
      </c>
      <c r="S21" s="83">
        <f t="shared" si="5"/>
        <v>0</v>
      </c>
      <c r="T21" s="95" t="s">
        <v>63</v>
      </c>
      <c r="U21" s="75"/>
    </row>
    <row r="22" spans="1:21" x14ac:dyDescent="0.25">
      <c r="A22">
        <v>14</v>
      </c>
      <c r="B22" s="85"/>
      <c r="C22" s="89"/>
      <c r="D22" s="90"/>
      <c r="E22" s="90"/>
      <c r="F22" s="90"/>
      <c r="G22" s="90"/>
      <c r="H22" s="73"/>
      <c r="I22" s="73"/>
      <c r="J22" s="86"/>
      <c r="K22" s="36"/>
      <c r="L22" s="36"/>
      <c r="M22" s="33"/>
      <c r="N22" s="33" t="s">
        <v>31</v>
      </c>
      <c r="O22" s="33" t="s">
        <v>40</v>
      </c>
      <c r="P22" s="64">
        <v>1</v>
      </c>
      <c r="Q22" s="83">
        <f t="shared" si="4"/>
        <v>0</v>
      </c>
      <c r="R22" s="82">
        <f t="shared" si="8"/>
        <v>0</v>
      </c>
      <c r="S22" s="83">
        <f t="shared" si="5"/>
        <v>0</v>
      </c>
      <c r="T22" s="33"/>
      <c r="U22" s="75"/>
    </row>
    <row r="23" spans="1:21" x14ac:dyDescent="0.25">
      <c r="A23">
        <v>15</v>
      </c>
      <c r="B23" s="85"/>
      <c r="C23" s="106"/>
      <c r="D23" s="107"/>
      <c r="E23" s="107"/>
      <c r="F23" s="107"/>
      <c r="G23" s="107"/>
      <c r="H23" s="108"/>
      <c r="I23" s="73"/>
      <c r="J23" s="86"/>
      <c r="K23" s="36"/>
      <c r="L23" s="36"/>
      <c r="M23" s="33"/>
      <c r="N23" s="33"/>
      <c r="O23" s="33"/>
      <c r="P23" s="64">
        <v>1</v>
      </c>
      <c r="Q23" s="83">
        <f t="shared" si="4"/>
        <v>0</v>
      </c>
      <c r="R23" s="82">
        <f t="shared" si="8"/>
        <v>0</v>
      </c>
      <c r="S23" s="83">
        <f t="shared" si="5"/>
        <v>0</v>
      </c>
      <c r="T23" s="33"/>
      <c r="U23" s="75"/>
    </row>
    <row r="24" spans="1:21" x14ac:dyDescent="0.25">
      <c r="A24">
        <v>16</v>
      </c>
      <c r="B24" s="85"/>
      <c r="C24" s="89"/>
      <c r="D24" s="90"/>
      <c r="E24" s="90"/>
      <c r="F24" s="90"/>
      <c r="G24" s="90"/>
      <c r="H24" s="73"/>
      <c r="I24" s="73"/>
      <c r="J24" s="86"/>
      <c r="K24" s="36"/>
      <c r="L24" s="36"/>
      <c r="M24" s="33"/>
      <c r="N24" s="33"/>
      <c r="O24" s="33"/>
      <c r="P24" s="64">
        <v>1</v>
      </c>
      <c r="Q24" s="83">
        <f t="shared" si="4"/>
        <v>0</v>
      </c>
      <c r="R24" s="82">
        <f t="shared" si="8"/>
        <v>0</v>
      </c>
      <c r="S24" s="83">
        <f t="shared" si="5"/>
        <v>0</v>
      </c>
      <c r="T24" s="33"/>
      <c r="U24" s="75"/>
    </row>
    <row r="25" spans="1:21" x14ac:dyDescent="0.25">
      <c r="A25">
        <v>17</v>
      </c>
      <c r="B25" s="85"/>
      <c r="C25" s="106"/>
      <c r="D25" s="107"/>
      <c r="E25" s="107"/>
      <c r="F25" s="107"/>
      <c r="G25" s="107"/>
      <c r="H25" s="108"/>
      <c r="I25" s="73"/>
      <c r="J25" s="86"/>
      <c r="K25" s="36"/>
      <c r="L25" s="36"/>
      <c r="M25" s="33"/>
      <c r="N25" s="33"/>
      <c r="O25" s="33"/>
      <c r="P25" s="64">
        <v>1</v>
      </c>
      <c r="Q25" s="83">
        <f t="shared" si="4"/>
        <v>0</v>
      </c>
      <c r="R25" s="82">
        <f t="shared" si="8"/>
        <v>0</v>
      </c>
      <c r="S25" s="83">
        <f t="shared" si="5"/>
        <v>0</v>
      </c>
      <c r="T25" s="33"/>
      <c r="U25" s="75"/>
    </row>
    <row r="26" spans="1:21" x14ac:dyDescent="0.25">
      <c r="A26">
        <v>18</v>
      </c>
      <c r="B26" s="85"/>
      <c r="C26" s="89"/>
      <c r="D26" s="90"/>
      <c r="E26" s="90"/>
      <c r="F26" s="90"/>
      <c r="G26" s="90"/>
      <c r="H26" s="73"/>
      <c r="I26" s="73"/>
      <c r="J26" s="86"/>
      <c r="K26" s="36"/>
      <c r="L26" s="36"/>
      <c r="M26" s="33"/>
      <c r="N26" s="33"/>
      <c r="O26" s="33"/>
      <c r="P26" s="64">
        <v>1</v>
      </c>
      <c r="Q26" s="83">
        <f t="shared" si="4"/>
        <v>0</v>
      </c>
      <c r="R26" s="82">
        <f t="shared" si="8"/>
        <v>0</v>
      </c>
      <c r="S26" s="83">
        <f t="shared" si="5"/>
        <v>0</v>
      </c>
      <c r="T26" s="33"/>
      <c r="U26" s="75"/>
    </row>
    <row r="27" spans="1:21" x14ac:dyDescent="0.25">
      <c r="A27">
        <v>19</v>
      </c>
      <c r="B27" s="85"/>
      <c r="C27" s="89"/>
      <c r="D27" s="90"/>
      <c r="E27" s="90"/>
      <c r="F27" s="90"/>
      <c r="G27" s="90"/>
      <c r="H27" s="73"/>
      <c r="I27" s="73"/>
      <c r="J27" s="86"/>
      <c r="K27" s="36"/>
      <c r="L27" s="36"/>
      <c r="M27" s="33"/>
      <c r="N27" s="33"/>
      <c r="O27" s="33"/>
      <c r="P27" s="64">
        <v>1</v>
      </c>
      <c r="Q27" s="83"/>
      <c r="R27" s="82"/>
      <c r="S27" s="83"/>
      <c r="T27" s="33"/>
      <c r="U27" s="75"/>
    </row>
    <row r="28" spans="1:21" x14ac:dyDescent="0.25">
      <c r="A28">
        <v>20</v>
      </c>
      <c r="B28" s="85"/>
      <c r="C28" s="89"/>
      <c r="D28" s="90"/>
      <c r="E28" s="90"/>
      <c r="F28" s="90"/>
      <c r="G28" s="90"/>
      <c r="H28" s="73"/>
      <c r="I28" s="73"/>
      <c r="J28" s="86"/>
      <c r="K28" s="36"/>
      <c r="L28" s="36"/>
      <c r="M28" s="33"/>
      <c r="N28" s="33"/>
      <c r="O28" s="33"/>
      <c r="P28" s="64">
        <v>1</v>
      </c>
      <c r="Q28" s="83"/>
      <c r="R28" s="82"/>
      <c r="S28" s="83"/>
      <c r="T28" s="33"/>
      <c r="U28" s="75"/>
    </row>
    <row r="29" spans="1:21" x14ac:dyDescent="0.25">
      <c r="A29">
        <v>21</v>
      </c>
      <c r="B29" s="53"/>
      <c r="C29" s="106"/>
      <c r="D29" s="107"/>
      <c r="E29" s="107"/>
      <c r="F29" s="107"/>
      <c r="G29" s="107"/>
      <c r="H29" s="108"/>
      <c r="I29" s="73"/>
      <c r="J29" s="55"/>
      <c r="K29" s="36"/>
      <c r="L29" s="36"/>
      <c r="M29" s="33"/>
      <c r="N29" s="33" t="s">
        <v>31</v>
      </c>
      <c r="O29" s="33" t="s">
        <v>40</v>
      </c>
      <c r="P29" s="67">
        <v>1</v>
      </c>
      <c r="Q29" s="83">
        <f t="shared" si="0"/>
        <v>0</v>
      </c>
      <c r="R29" s="82">
        <f t="shared" si="8"/>
        <v>0</v>
      </c>
      <c r="S29" s="83">
        <f t="shared" si="3"/>
        <v>0</v>
      </c>
      <c r="T29" s="33"/>
      <c r="U29" s="33"/>
    </row>
    <row r="30" spans="1:21" ht="15.75" x14ac:dyDescent="0.25">
      <c r="A30">
        <v>22</v>
      </c>
      <c r="B30" s="68"/>
      <c r="C30" s="106"/>
      <c r="D30" s="107"/>
      <c r="E30" s="107"/>
      <c r="F30" s="107"/>
      <c r="G30" s="107"/>
      <c r="H30" s="108"/>
      <c r="I30" s="74"/>
      <c r="J30" s="69"/>
      <c r="K30" s="33"/>
      <c r="L30" s="35" t="s">
        <v>9</v>
      </c>
      <c r="M30" s="33">
        <f>SUM(M8:M13)</f>
        <v>0.55000000000000004</v>
      </c>
      <c r="N30" s="33">
        <f>SUM(M30)</f>
        <v>0.55000000000000004</v>
      </c>
      <c r="O30" s="33"/>
      <c r="P30" s="67"/>
      <c r="Q30" s="70">
        <f>SUM(Q9:Q29)</f>
        <v>0</v>
      </c>
      <c r="R30" s="62">
        <f>SUM(R9:R29)</f>
        <v>0</v>
      </c>
      <c r="S30" s="63">
        <f t="shared" si="3"/>
        <v>0</v>
      </c>
      <c r="T30" s="33"/>
    </row>
    <row r="31" spans="1:21" ht="15.75" thickBot="1" x14ac:dyDescent="0.3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21" ht="15.75" thickTop="1" x14ac:dyDescent="0.25">
      <c r="B32" s="31" t="s">
        <v>17</v>
      </c>
      <c r="C32" s="47"/>
      <c r="N32" s="8"/>
      <c r="O32" s="8"/>
      <c r="P32" s="8"/>
      <c r="Q32" s="8"/>
      <c r="R32" s="8"/>
    </row>
    <row r="33" spans="2:21" x14ac:dyDescent="0.25">
      <c r="N33" s="120" t="s">
        <v>44</v>
      </c>
      <c r="O33" s="120"/>
      <c r="P33" s="77">
        <f>Q30</f>
        <v>0</v>
      </c>
      <c r="Q33" s="9"/>
      <c r="R33" s="9"/>
      <c r="S33" s="9"/>
      <c r="T33" s="9"/>
      <c r="U33" t="s">
        <v>41</v>
      </c>
    </row>
    <row r="34" spans="2:21" x14ac:dyDescent="0.25">
      <c r="N34" s="10"/>
      <c r="O34" s="10"/>
      <c r="P34" s="10"/>
      <c r="Q34" s="10"/>
      <c r="R34" s="10"/>
      <c r="S34" s="10"/>
      <c r="T34" s="10"/>
    </row>
    <row r="35" spans="2:21" x14ac:dyDescent="0.25">
      <c r="N35" s="10"/>
      <c r="O35" s="10"/>
      <c r="P35" s="10"/>
      <c r="Q35" s="10"/>
      <c r="R35" s="10"/>
      <c r="S35" s="10"/>
      <c r="T35" s="10"/>
    </row>
    <row r="36" spans="2:21" ht="15.75" x14ac:dyDescent="0.25">
      <c r="C36" s="34" t="s">
        <v>18</v>
      </c>
      <c r="D36" s="12"/>
      <c r="E36" s="12"/>
      <c r="F36" s="34" t="s">
        <v>19</v>
      </c>
      <c r="G36" s="34"/>
      <c r="I36" s="12"/>
      <c r="J36" s="12"/>
      <c r="K36" s="12"/>
      <c r="L36" s="10"/>
      <c r="M36" s="10"/>
    </row>
    <row r="37" spans="2:21" ht="15.75" x14ac:dyDescent="0.25">
      <c r="C37" s="13" t="s">
        <v>20</v>
      </c>
      <c r="D37" s="13"/>
      <c r="E37" s="13"/>
      <c r="F37" s="13" t="s">
        <v>20</v>
      </c>
      <c r="G37" s="13"/>
      <c r="H37" s="13"/>
      <c r="I37" s="13"/>
      <c r="J37" s="13"/>
      <c r="K37" s="13"/>
      <c r="L37" s="14"/>
      <c r="M37" s="14"/>
      <c r="O37" s="13"/>
      <c r="P37" s="13"/>
    </row>
    <row r="38" spans="2:21" ht="15.75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  <c r="M38" s="14"/>
      <c r="N38" s="13"/>
      <c r="O38" s="13"/>
      <c r="P38" s="13"/>
    </row>
    <row r="39" spans="2:21" ht="15.75" x14ac:dyDescent="0.25">
      <c r="C39" s="34" t="s">
        <v>21</v>
      </c>
      <c r="D39" s="12"/>
      <c r="E39" s="12"/>
      <c r="F39" s="34" t="s">
        <v>21</v>
      </c>
      <c r="G39" s="34"/>
      <c r="I39" s="12"/>
      <c r="J39" s="12"/>
      <c r="K39" s="12"/>
      <c r="N39" s="15"/>
      <c r="Q39" s="9"/>
      <c r="U39" s="10"/>
    </row>
    <row r="40" spans="2:21" ht="15.75" x14ac:dyDescent="0.25">
      <c r="B40" s="34"/>
      <c r="C40" s="34"/>
      <c r="D40" s="7"/>
      <c r="E40" s="7"/>
      <c r="F40" s="34"/>
      <c r="G40" s="34"/>
      <c r="R40" s="15" t="s">
        <v>37</v>
      </c>
      <c r="U40" s="10"/>
    </row>
    <row r="41" spans="2:21" ht="15.75" x14ac:dyDescent="0.25">
      <c r="B41" s="11"/>
      <c r="C41" s="11"/>
      <c r="D41" s="12"/>
      <c r="E41" s="12"/>
      <c r="F41" s="11"/>
      <c r="G41" s="11"/>
      <c r="H41" s="12"/>
      <c r="R41" s="15"/>
    </row>
    <row r="42" spans="2:21" x14ac:dyDescent="0.25">
      <c r="B42" s="16" t="s">
        <v>14</v>
      </c>
      <c r="C42" s="48"/>
      <c r="D42" s="26"/>
      <c r="E42" s="27"/>
      <c r="F42" s="28"/>
      <c r="G42" s="28"/>
      <c r="H42" s="27"/>
      <c r="I42" s="29" t="s">
        <v>24</v>
      </c>
      <c r="J42" s="30" t="s">
        <v>12</v>
      </c>
    </row>
    <row r="43" spans="2:21" ht="15.75" x14ac:dyDescent="0.25">
      <c r="B43" s="44" t="s">
        <v>46</v>
      </c>
      <c r="C43" s="50">
        <v>62005</v>
      </c>
      <c r="D43" s="17">
        <f t="shared" ref="D43:H46" si="9">SUMIFS($S$9:$S$30,$K$9:$K$30,$B43,$L$9:$L$30,D$42)</f>
        <v>0</v>
      </c>
      <c r="E43" s="17">
        <f t="shared" si="9"/>
        <v>0</v>
      </c>
      <c r="F43" s="17">
        <f t="shared" si="9"/>
        <v>0</v>
      </c>
      <c r="G43" s="17">
        <f t="shared" si="9"/>
        <v>0</v>
      </c>
      <c r="H43" s="17">
        <f t="shared" si="9"/>
        <v>0</v>
      </c>
      <c r="I43" s="18">
        <f t="shared" ref="I43:I46" si="10">SUM(D43:H43)</f>
        <v>0</v>
      </c>
      <c r="J43" s="18">
        <f>SUMIF(K$9:K$30,B43,R$9:R$30)</f>
        <v>0</v>
      </c>
    </row>
    <row r="44" spans="2:21" ht="15.75" x14ac:dyDescent="0.25">
      <c r="B44" s="20" t="s">
        <v>29</v>
      </c>
      <c r="C44" s="51">
        <v>62001</v>
      </c>
      <c r="D44" s="17">
        <f t="shared" si="9"/>
        <v>0</v>
      </c>
      <c r="E44" s="17">
        <f t="shared" si="9"/>
        <v>0</v>
      </c>
      <c r="F44" s="17">
        <f t="shared" si="9"/>
        <v>0</v>
      </c>
      <c r="G44" s="17">
        <f t="shared" si="9"/>
        <v>0</v>
      </c>
      <c r="H44" s="17">
        <f t="shared" si="9"/>
        <v>0</v>
      </c>
      <c r="I44" s="18">
        <f t="shared" si="10"/>
        <v>0</v>
      </c>
      <c r="J44" s="18">
        <f>SUMIF(K$9:K$30,B44,R$9:R$30)</f>
        <v>0</v>
      </c>
    </row>
    <row r="45" spans="2:21" ht="15.75" x14ac:dyDescent="0.25">
      <c r="B45" s="20" t="s">
        <v>54</v>
      </c>
      <c r="C45" s="51">
        <v>62025</v>
      </c>
      <c r="D45" s="17">
        <f t="shared" si="9"/>
        <v>0</v>
      </c>
      <c r="E45" s="17">
        <f t="shared" si="9"/>
        <v>0</v>
      </c>
      <c r="F45" s="17">
        <f t="shared" si="9"/>
        <v>0</v>
      </c>
      <c r="G45" s="17">
        <f t="shared" si="9"/>
        <v>0</v>
      </c>
      <c r="H45" s="17">
        <f t="shared" si="9"/>
        <v>0</v>
      </c>
      <c r="I45" s="18">
        <f t="shared" si="10"/>
        <v>0</v>
      </c>
      <c r="J45" s="18">
        <f>SUMIF(K$9:K$30,B45,R$9:R$30)</f>
        <v>0</v>
      </c>
    </row>
    <row r="46" spans="2:21" ht="15.75" x14ac:dyDescent="0.25">
      <c r="B46" s="20" t="s">
        <v>9</v>
      </c>
      <c r="C46" s="51">
        <v>62001</v>
      </c>
      <c r="D46" s="17">
        <f t="shared" si="9"/>
        <v>0</v>
      </c>
      <c r="E46" s="17">
        <f t="shared" si="9"/>
        <v>0</v>
      </c>
      <c r="F46" s="17">
        <f t="shared" si="9"/>
        <v>0</v>
      </c>
      <c r="G46" s="17">
        <f t="shared" si="9"/>
        <v>0</v>
      </c>
      <c r="H46" s="17">
        <f t="shared" si="9"/>
        <v>0</v>
      </c>
      <c r="I46" s="18">
        <f t="shared" si="10"/>
        <v>0</v>
      </c>
      <c r="J46" s="18">
        <f>SUMIF(K$9:K$30,B46,R$9:R$30)</f>
        <v>0</v>
      </c>
    </row>
    <row r="47" spans="2:21" ht="15.75" x14ac:dyDescent="0.25">
      <c r="B47" s="20" t="s">
        <v>47</v>
      </c>
      <c r="C47" s="51">
        <v>62010</v>
      </c>
      <c r="D47" s="17">
        <f>SUMIFS($S$9:$S$30,$K$9:$K$30,$B47,$L$9:$L$30,D$42)</f>
        <v>0</v>
      </c>
      <c r="E47" s="17">
        <f>SUMIFS($S$9:$S$30,$K$9:$K$30,$B47,$L$9:$L$30,E$42)</f>
        <v>0</v>
      </c>
      <c r="F47" s="17">
        <f>SUMIFS($S$9:$S$30,$K$9:$K$30,$B47,$L$9:$L$30,F$42)</f>
        <v>0</v>
      </c>
      <c r="G47" s="17">
        <f>SUMIFS($S$9:$S$30,$K$9:$K$30,$B47,$L$9:$L$30,G$42)</f>
        <v>0</v>
      </c>
      <c r="H47" s="17">
        <f>SUMIFS($S$9:$S$30,$K$9:$K$30,$B47,$L$9:$L$30,H$42)+J47</f>
        <v>0</v>
      </c>
      <c r="I47" s="18">
        <f t="shared" ref="I47" si="11">SUM(D47:H47)</f>
        <v>0</v>
      </c>
      <c r="J47" s="18">
        <f>SUMIF(K$9:K$30,B47,R$9:R$30)/2</f>
        <v>0</v>
      </c>
      <c r="K47" s="45"/>
    </row>
    <row r="48" spans="2:21" ht="15.75" x14ac:dyDescent="0.25">
      <c r="B48" s="20" t="s">
        <v>49</v>
      </c>
      <c r="C48" s="51">
        <v>62020</v>
      </c>
      <c r="D48" s="17">
        <f>SUMIFS($S$9:$S$30,$K$9:$K$30,$B48,$L$9:$L$30,D$42)+J48</f>
        <v>0</v>
      </c>
      <c r="E48" s="17">
        <f>SUMIFS($S$9:$S$30,$K$9:$K$30,$B48,$L$9:$L$30,E$42)</f>
        <v>0</v>
      </c>
      <c r="F48" s="17">
        <f>SUMIFS($S$9:$S$30,$K$9:$K$30,$B48,$L$9:$L$30,F$42)</f>
        <v>0</v>
      </c>
      <c r="G48" s="17">
        <f>SUMIFS($S$9:$S$30,$K$9:$K$30,$B48,$L$9:$L$30,G$42)</f>
        <v>0</v>
      </c>
      <c r="H48" s="17">
        <f>SUMIFS($S$9:$S$30,$K$9:$K$30,$B48,$L$9:$L$30,H$42)</f>
        <v>0</v>
      </c>
      <c r="I48" s="18">
        <f t="shared" ref="I48:I63" si="12">SUM(D48:H48)</f>
        <v>0</v>
      </c>
      <c r="J48" s="18">
        <f>SUMIF(K$9:K$30,B48,R$9:R$30)/2</f>
        <v>0</v>
      </c>
      <c r="K48" s="45"/>
    </row>
    <row r="49" spans="2:11" ht="15.75" x14ac:dyDescent="0.25">
      <c r="B49" s="20" t="s">
        <v>48</v>
      </c>
      <c r="C49" s="51">
        <v>62011</v>
      </c>
      <c r="D49" s="17">
        <f t="shared" ref="D49:G63" si="13">SUMIFS($S$9:$S$30,$K$9:$K$30,$B49,$L$9:$L$30,D$42)</f>
        <v>0</v>
      </c>
      <c r="E49" s="17">
        <f t="shared" si="13"/>
        <v>0</v>
      </c>
      <c r="F49" s="17">
        <f t="shared" si="13"/>
        <v>0</v>
      </c>
      <c r="G49" s="17">
        <f t="shared" si="13"/>
        <v>0</v>
      </c>
      <c r="H49" s="17">
        <f>SUMIFS($S$9:$S$30,$K$9:$K$30,$B49,$L$9:$L$30,H$42)+J49</f>
        <v>0</v>
      </c>
      <c r="I49" s="18">
        <f t="shared" si="12"/>
        <v>0</v>
      </c>
      <c r="J49" s="18">
        <f>SUMIF(K$9:K$30,B49,R$9:R$30)/2</f>
        <v>0</v>
      </c>
      <c r="K49" s="45"/>
    </row>
    <row r="50" spans="2:11" ht="15.75" x14ac:dyDescent="0.25">
      <c r="B50" s="20" t="s">
        <v>50</v>
      </c>
      <c r="C50" s="51">
        <v>62021</v>
      </c>
      <c r="D50" s="17">
        <f t="shared" si="13"/>
        <v>0</v>
      </c>
      <c r="E50" s="17">
        <f t="shared" si="13"/>
        <v>0</v>
      </c>
      <c r="F50" s="17">
        <f t="shared" si="13"/>
        <v>0</v>
      </c>
      <c r="G50" s="17">
        <f t="shared" si="13"/>
        <v>0</v>
      </c>
      <c r="H50" s="17">
        <f>SUMIFS($S$9:$S$30,$K$9:$K$30,$B50,$L$9:$L$30,H$42)+J50</f>
        <v>0</v>
      </c>
      <c r="I50" s="18">
        <f t="shared" si="12"/>
        <v>0</v>
      </c>
      <c r="J50" s="18">
        <f>SUMIF(K$9:K$30,B50,R$9:R$30)/2</f>
        <v>0</v>
      </c>
      <c r="K50" s="45"/>
    </row>
    <row r="51" spans="2:11" ht="15.75" x14ac:dyDescent="0.25">
      <c r="B51" s="20" t="s">
        <v>32</v>
      </c>
      <c r="C51" s="51">
        <v>62111</v>
      </c>
      <c r="D51" s="17">
        <f t="shared" si="13"/>
        <v>0</v>
      </c>
      <c r="E51" s="17">
        <f t="shared" si="13"/>
        <v>0</v>
      </c>
      <c r="F51" s="17">
        <f t="shared" si="13"/>
        <v>0</v>
      </c>
      <c r="G51" s="17">
        <f t="shared" si="13"/>
        <v>0</v>
      </c>
      <c r="H51" s="17">
        <f t="shared" ref="H51:H63" si="14">SUMIFS($S$9:$S$30,$K$9:$K$30,$B51,$L$9:$L$30,H$42)</f>
        <v>0</v>
      </c>
      <c r="I51" s="18">
        <f t="shared" si="12"/>
        <v>0</v>
      </c>
      <c r="J51" s="18">
        <f t="shared" ref="J51:J63" si="15">SUMIF(K$9:K$30,B51,R$9:R$30)</f>
        <v>0</v>
      </c>
      <c r="K51" s="45"/>
    </row>
    <row r="52" spans="2:11" ht="15.75" x14ac:dyDescent="0.25">
      <c r="B52" s="20" t="s">
        <v>25</v>
      </c>
      <c r="C52" s="51">
        <v>62110</v>
      </c>
      <c r="D52" s="17">
        <f t="shared" si="13"/>
        <v>0</v>
      </c>
      <c r="E52" s="17">
        <f t="shared" si="13"/>
        <v>0</v>
      </c>
      <c r="F52" s="17">
        <f t="shared" si="13"/>
        <v>0</v>
      </c>
      <c r="G52" s="17">
        <f t="shared" si="13"/>
        <v>0</v>
      </c>
      <c r="H52" s="17">
        <f t="shared" si="14"/>
        <v>0</v>
      </c>
      <c r="I52" s="18">
        <f t="shared" si="12"/>
        <v>0</v>
      </c>
      <c r="J52" s="18">
        <f t="shared" si="15"/>
        <v>0</v>
      </c>
      <c r="K52" s="45"/>
    </row>
    <row r="53" spans="2:11" ht="15.75" x14ac:dyDescent="0.25">
      <c r="B53" s="20" t="s">
        <v>26</v>
      </c>
      <c r="C53" s="51">
        <v>62160</v>
      </c>
      <c r="D53" s="17">
        <f t="shared" si="13"/>
        <v>0</v>
      </c>
      <c r="E53" s="17">
        <f t="shared" si="13"/>
        <v>0</v>
      </c>
      <c r="F53" s="17">
        <f t="shared" si="13"/>
        <v>0</v>
      </c>
      <c r="G53" s="17">
        <f t="shared" si="13"/>
        <v>0</v>
      </c>
      <c r="H53" s="17">
        <f t="shared" si="14"/>
        <v>0</v>
      </c>
      <c r="I53" s="18">
        <f t="shared" si="12"/>
        <v>0</v>
      </c>
      <c r="J53" s="18">
        <f t="shared" si="15"/>
        <v>0</v>
      </c>
      <c r="K53" s="45"/>
    </row>
    <row r="54" spans="2:11" ht="15.75" x14ac:dyDescent="0.25">
      <c r="B54" s="20" t="s">
        <v>52</v>
      </c>
      <c r="C54" s="51">
        <v>62155</v>
      </c>
      <c r="D54" s="17">
        <f t="shared" si="13"/>
        <v>0</v>
      </c>
      <c r="E54" s="17">
        <f t="shared" si="13"/>
        <v>0</v>
      </c>
      <c r="F54" s="17">
        <f t="shared" si="13"/>
        <v>0</v>
      </c>
      <c r="G54" s="17">
        <f t="shared" si="13"/>
        <v>0</v>
      </c>
      <c r="H54" s="17">
        <f t="shared" si="14"/>
        <v>0</v>
      </c>
      <c r="I54" s="18">
        <f t="shared" si="12"/>
        <v>0</v>
      </c>
      <c r="J54" s="18">
        <f t="shared" si="15"/>
        <v>0</v>
      </c>
    </row>
    <row r="55" spans="2:11" ht="15.75" x14ac:dyDescent="0.25">
      <c r="B55" s="20" t="s">
        <v>34</v>
      </c>
      <c r="C55" s="51">
        <v>63005</v>
      </c>
      <c r="D55" s="17">
        <f t="shared" si="13"/>
        <v>0</v>
      </c>
      <c r="E55" s="17">
        <f t="shared" si="13"/>
        <v>0</v>
      </c>
      <c r="F55" s="17">
        <f t="shared" si="13"/>
        <v>0</v>
      </c>
      <c r="G55" s="17">
        <f t="shared" si="13"/>
        <v>0</v>
      </c>
      <c r="H55" s="17">
        <f t="shared" si="14"/>
        <v>0</v>
      </c>
      <c r="I55" s="18">
        <f t="shared" si="12"/>
        <v>0</v>
      </c>
      <c r="J55" s="18">
        <f t="shared" si="15"/>
        <v>0</v>
      </c>
    </row>
    <row r="56" spans="2:11" ht="15.75" x14ac:dyDescent="0.25">
      <c r="B56" s="20" t="s">
        <v>53</v>
      </c>
      <c r="C56" s="51">
        <v>61110</v>
      </c>
      <c r="D56" s="17">
        <f t="shared" si="13"/>
        <v>0</v>
      </c>
      <c r="E56" s="17">
        <f t="shared" si="13"/>
        <v>0</v>
      </c>
      <c r="F56" s="17">
        <f t="shared" si="13"/>
        <v>0</v>
      </c>
      <c r="G56" s="17">
        <f t="shared" si="13"/>
        <v>0</v>
      </c>
      <c r="H56" s="17">
        <f t="shared" si="14"/>
        <v>0</v>
      </c>
      <c r="I56" s="18">
        <f t="shared" si="12"/>
        <v>0</v>
      </c>
      <c r="J56" s="18">
        <f t="shared" si="15"/>
        <v>0</v>
      </c>
    </row>
    <row r="57" spans="2:11" ht="15.75" x14ac:dyDescent="0.25">
      <c r="B57" s="20" t="s">
        <v>42</v>
      </c>
      <c r="C57" s="51">
        <v>63505</v>
      </c>
      <c r="D57" s="17">
        <f t="shared" si="13"/>
        <v>0</v>
      </c>
      <c r="E57" s="17">
        <f t="shared" si="13"/>
        <v>0</v>
      </c>
      <c r="F57" s="17">
        <f t="shared" si="13"/>
        <v>0</v>
      </c>
      <c r="G57" s="17">
        <f t="shared" si="13"/>
        <v>0</v>
      </c>
      <c r="H57" s="17">
        <f t="shared" si="14"/>
        <v>0</v>
      </c>
      <c r="I57" s="18">
        <f t="shared" si="12"/>
        <v>0</v>
      </c>
      <c r="J57" s="18">
        <f t="shared" si="15"/>
        <v>0</v>
      </c>
    </row>
    <row r="58" spans="2:11" ht="15.75" x14ac:dyDescent="0.25">
      <c r="B58" s="20"/>
      <c r="C58" s="51"/>
      <c r="D58" s="17">
        <f t="shared" si="13"/>
        <v>0</v>
      </c>
      <c r="E58" s="17">
        <f t="shared" si="13"/>
        <v>0</v>
      </c>
      <c r="F58" s="17">
        <f t="shared" si="13"/>
        <v>0</v>
      </c>
      <c r="G58" s="17">
        <f t="shared" si="13"/>
        <v>0</v>
      </c>
      <c r="H58" s="17">
        <f t="shared" si="14"/>
        <v>0</v>
      </c>
      <c r="I58" s="18">
        <f t="shared" si="12"/>
        <v>0</v>
      </c>
      <c r="J58" s="18">
        <f t="shared" si="15"/>
        <v>0</v>
      </c>
    </row>
    <row r="59" spans="2:11" ht="15.75" x14ac:dyDescent="0.25">
      <c r="B59" s="20" t="s">
        <v>55</v>
      </c>
      <c r="C59" s="51">
        <v>63015</v>
      </c>
      <c r="D59" s="17">
        <f t="shared" si="13"/>
        <v>0</v>
      </c>
      <c r="E59" s="17">
        <f t="shared" si="13"/>
        <v>0</v>
      </c>
      <c r="F59" s="17">
        <f t="shared" si="13"/>
        <v>0</v>
      </c>
      <c r="G59" s="17">
        <f t="shared" si="13"/>
        <v>0</v>
      </c>
      <c r="H59" s="17">
        <f t="shared" si="14"/>
        <v>0</v>
      </c>
      <c r="I59" s="18">
        <f t="shared" si="12"/>
        <v>0</v>
      </c>
      <c r="J59" s="18">
        <f t="shared" si="15"/>
        <v>0</v>
      </c>
    </row>
    <row r="60" spans="2:11" ht="15.75" x14ac:dyDescent="0.25">
      <c r="B60" s="78" t="s">
        <v>51</v>
      </c>
      <c r="C60" s="79">
        <v>63101</v>
      </c>
      <c r="D60" s="17">
        <f t="shared" si="13"/>
        <v>0</v>
      </c>
      <c r="E60" s="17">
        <f t="shared" si="13"/>
        <v>0</v>
      </c>
      <c r="F60" s="17">
        <f t="shared" si="13"/>
        <v>0</v>
      </c>
      <c r="G60" s="17">
        <f t="shared" si="13"/>
        <v>0</v>
      </c>
      <c r="H60" s="17">
        <f t="shared" si="14"/>
        <v>0</v>
      </c>
      <c r="I60" s="18">
        <f t="shared" si="12"/>
        <v>0</v>
      </c>
      <c r="J60" s="18">
        <f t="shared" si="15"/>
        <v>0</v>
      </c>
    </row>
    <row r="61" spans="2:11" ht="15.75" x14ac:dyDescent="0.25">
      <c r="B61" s="20"/>
      <c r="C61" s="51"/>
      <c r="D61" s="17">
        <f t="shared" si="13"/>
        <v>0</v>
      </c>
      <c r="E61" s="17">
        <f t="shared" si="13"/>
        <v>0</v>
      </c>
      <c r="F61" s="17">
        <f t="shared" si="13"/>
        <v>0</v>
      </c>
      <c r="G61" s="17">
        <f t="shared" si="13"/>
        <v>0</v>
      </c>
      <c r="H61" s="17">
        <f t="shared" si="14"/>
        <v>0</v>
      </c>
      <c r="I61" s="18">
        <f t="shared" si="12"/>
        <v>0</v>
      </c>
      <c r="J61" s="18">
        <f t="shared" si="15"/>
        <v>0</v>
      </c>
    </row>
    <row r="62" spans="2:11" ht="15.75" x14ac:dyDescent="0.25">
      <c r="B62" s="20" t="s">
        <v>27</v>
      </c>
      <c r="C62" s="51"/>
      <c r="D62" s="17">
        <f t="shared" si="13"/>
        <v>0</v>
      </c>
      <c r="E62" s="17">
        <f t="shared" si="13"/>
        <v>0</v>
      </c>
      <c r="F62" s="17">
        <f t="shared" si="13"/>
        <v>0</v>
      </c>
      <c r="G62" s="17">
        <f t="shared" si="13"/>
        <v>0</v>
      </c>
      <c r="H62" s="17">
        <f t="shared" si="14"/>
        <v>0</v>
      </c>
      <c r="I62" s="18">
        <f t="shared" si="12"/>
        <v>0</v>
      </c>
      <c r="J62" s="18">
        <f t="shared" si="15"/>
        <v>0</v>
      </c>
    </row>
    <row r="63" spans="2:11" ht="15.75" x14ac:dyDescent="0.25">
      <c r="B63" s="21" t="s">
        <v>30</v>
      </c>
      <c r="C63" s="52"/>
      <c r="D63" s="17">
        <f t="shared" si="13"/>
        <v>0</v>
      </c>
      <c r="E63" s="17">
        <f t="shared" si="13"/>
        <v>0</v>
      </c>
      <c r="F63" s="17">
        <f t="shared" si="13"/>
        <v>0</v>
      </c>
      <c r="G63" s="17">
        <f t="shared" si="13"/>
        <v>0</v>
      </c>
      <c r="H63" s="17">
        <f t="shared" si="14"/>
        <v>0</v>
      </c>
      <c r="I63" s="18">
        <f t="shared" si="12"/>
        <v>0</v>
      </c>
      <c r="J63" s="18">
        <f t="shared" si="15"/>
        <v>0</v>
      </c>
    </row>
    <row r="64" spans="2:11" ht="15.75" x14ac:dyDescent="0.25">
      <c r="B64" s="16" t="s">
        <v>28</v>
      </c>
      <c r="C64" s="49"/>
      <c r="D64" s="23">
        <f>SUM(D43:D63)</f>
        <v>0</v>
      </c>
      <c r="E64" s="23">
        <f>SUM(E43:E63)</f>
        <v>0</v>
      </c>
      <c r="F64" s="23">
        <f>SUM(F43:F63)</f>
        <v>0</v>
      </c>
      <c r="G64" s="23">
        <f>SUM(G43:G63)</f>
        <v>0</v>
      </c>
      <c r="H64" s="76">
        <f>SUM(H43:H63)</f>
        <v>0</v>
      </c>
      <c r="I64" s="24">
        <f t="shared" ref="I64" si="16">SUM(D64:H64)</f>
        <v>0</v>
      </c>
      <c r="J64" s="24">
        <f>SUM(J43:J63)</f>
        <v>0</v>
      </c>
    </row>
    <row r="65" spans="9:11" x14ac:dyDescent="0.25">
      <c r="I65" s="80">
        <f>I64-S30</f>
        <v>0</v>
      </c>
      <c r="J65" s="25">
        <f>J64-R30</f>
        <v>0</v>
      </c>
    </row>
    <row r="67" spans="9:11" x14ac:dyDescent="0.25">
      <c r="K67" s="25">
        <f>J64+I64-Q30</f>
        <v>0</v>
      </c>
    </row>
    <row r="70" spans="9:11" x14ac:dyDescent="0.25">
      <c r="K70" s="25"/>
    </row>
  </sheetData>
  <mergeCells count="26">
    <mergeCell ref="N33:O33"/>
    <mergeCell ref="C9:H9"/>
    <mergeCell ref="C13:H13"/>
    <mergeCell ref="C14:H14"/>
    <mergeCell ref="C17:H17"/>
    <mergeCell ref="C18:H18"/>
    <mergeCell ref="C19:H19"/>
    <mergeCell ref="C10:H10"/>
    <mergeCell ref="C11:H11"/>
    <mergeCell ref="C12:H12"/>
    <mergeCell ref="C29:H29"/>
    <mergeCell ref="C30:H30"/>
    <mergeCell ref="C15:H15"/>
    <mergeCell ref="C21:H21"/>
    <mergeCell ref="C23:H23"/>
    <mergeCell ref="C25:H25"/>
    <mergeCell ref="I4:J4"/>
    <mergeCell ref="C5:E5"/>
    <mergeCell ref="F5:H5"/>
    <mergeCell ref="I5:J5"/>
    <mergeCell ref="C20:H20"/>
    <mergeCell ref="C7:H7"/>
    <mergeCell ref="C8:D8"/>
    <mergeCell ref="C16:H16"/>
    <mergeCell ref="C4:E4"/>
    <mergeCell ref="F4:H4"/>
  </mergeCells>
  <conditionalFormatting sqref="K67">
    <cfRule type="cellIs" dxfId="3" priority="3" operator="notEqual">
      <formula>0</formula>
    </cfRule>
  </conditionalFormatting>
  <conditionalFormatting sqref="N2">
    <cfRule type="cellIs" dxfId="2" priority="1" operator="lessThan">
      <formula>0</formula>
    </cfRule>
    <cfRule type="cellIs" priority="2" operator="lessThan">
      <formula>0</formula>
    </cfRule>
  </conditionalFormatting>
  <dataValidations count="3">
    <dataValidation type="list" allowBlank="1" showInputMessage="1" showErrorMessage="1" sqref="I4:J4" xr:uid="{00000000-0002-0000-0100-000000000000}">
      <formula1>$D$42:$H$42</formula1>
    </dataValidation>
    <dataValidation type="list" allowBlank="1" showInputMessage="1" showErrorMessage="1" sqref="K9:K29" xr:uid="{00000000-0002-0000-0100-000001000000}">
      <formula1>$B$43:$B$63</formula1>
    </dataValidation>
    <dataValidation type="list" allowBlank="1" showInputMessage="1" showErrorMessage="1" error="Please use the dropdown" promptTitle="Depts" prompt="Please choose from the dropdown" sqref="L9:L29" xr:uid="{00000000-0002-0000-0100-000002000000}">
      <formula1>$D$42:$H$42</formula1>
    </dataValidation>
  </dataValidations>
  <pageMargins left="0.70866141732283472" right="0.70866141732283472" top="0.74803149606299213" bottom="0.74803149606299213" header="0.31496062992125984" footer="0.31496062992125984"/>
  <pageSetup scale="33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S119"/>
  <sheetViews>
    <sheetView showZeros="0" workbookViewId="0">
      <selection activeCell="J11" sqref="J11"/>
    </sheetView>
  </sheetViews>
  <sheetFormatPr defaultRowHeight="15" x14ac:dyDescent="0.25"/>
  <cols>
    <col min="1" max="1" width="6.42578125" customWidth="1"/>
    <col min="2" max="2" width="21.7109375" customWidth="1"/>
    <col min="3" max="3" width="15.7109375" customWidth="1"/>
    <col min="4" max="4" width="8.42578125" customWidth="1"/>
    <col min="5" max="5" width="12" customWidth="1"/>
    <col min="6" max="6" width="8.5703125" customWidth="1"/>
    <col min="7" max="7" width="10.140625" bestFit="1" customWidth="1"/>
    <col min="8" max="8" width="15" customWidth="1"/>
    <col min="9" max="9" width="16.42578125" customWidth="1"/>
    <col min="10" max="10" width="12.5703125" customWidth="1"/>
    <col min="11" max="11" width="14.85546875" customWidth="1"/>
    <col min="12" max="12" width="13.28515625" customWidth="1"/>
    <col min="13" max="13" width="11.7109375" customWidth="1"/>
    <col min="14" max="14" width="11.140625" customWidth="1"/>
    <col min="15" max="15" width="11.85546875" customWidth="1"/>
    <col min="16" max="16" width="13.7109375" customWidth="1"/>
    <col min="17" max="17" width="15.7109375" customWidth="1"/>
    <col min="18" max="18" width="11.28515625" customWidth="1"/>
    <col min="19" max="19" width="14" customWidth="1"/>
    <col min="20" max="20" width="13" customWidth="1"/>
    <col min="21" max="21" width="12" customWidth="1"/>
    <col min="22" max="22" width="13.7109375" customWidth="1"/>
  </cols>
  <sheetData>
    <row r="1" spans="1:19" ht="15.75" thickBot="1" x14ac:dyDescent="0.3"/>
    <row r="2" spans="1:19" ht="21.75" thickBot="1" x14ac:dyDescent="0.4">
      <c r="B2" s="37" t="s">
        <v>33</v>
      </c>
      <c r="C2" s="38"/>
      <c r="D2" s="38"/>
      <c r="E2" s="39"/>
      <c r="F2" s="38"/>
      <c r="G2" s="46"/>
      <c r="M2" s="25">
        <f>I113+H113-P80</f>
        <v>0</v>
      </c>
      <c r="N2" s="43" t="str">
        <f>IF(M2&lt;0,"Category or Dept Missing!","")</f>
        <v/>
      </c>
    </row>
    <row r="4" spans="1:19" ht="15.75" x14ac:dyDescent="0.25">
      <c r="B4" s="1" t="s">
        <v>0</v>
      </c>
      <c r="C4" s="114" t="s">
        <v>61</v>
      </c>
      <c r="D4" s="115"/>
      <c r="E4" s="116"/>
      <c r="F4" s="117" t="s">
        <v>1</v>
      </c>
      <c r="G4" s="119"/>
      <c r="H4" s="96" t="s">
        <v>2</v>
      </c>
      <c r="I4" s="97"/>
    </row>
    <row r="5" spans="1:19" ht="15.75" x14ac:dyDescent="0.25">
      <c r="B5" s="1" t="s">
        <v>3</v>
      </c>
      <c r="C5" s="129" t="s">
        <v>62</v>
      </c>
      <c r="D5" s="121"/>
      <c r="E5" s="122"/>
      <c r="F5" s="101" t="s">
        <v>4</v>
      </c>
      <c r="G5" s="103"/>
      <c r="H5" s="126" t="s">
        <v>64</v>
      </c>
      <c r="I5" s="105"/>
    </row>
    <row r="7" spans="1:19" ht="48.75" customHeight="1" x14ac:dyDescent="0.25">
      <c r="B7" s="40" t="s">
        <v>5</v>
      </c>
      <c r="C7" s="109" t="s">
        <v>6</v>
      </c>
      <c r="D7" s="127"/>
      <c r="E7" s="127"/>
      <c r="F7" s="127"/>
      <c r="G7" s="127"/>
      <c r="H7" s="71" t="s">
        <v>45</v>
      </c>
      <c r="I7" s="30" t="s">
        <v>7</v>
      </c>
      <c r="J7" s="41" t="s">
        <v>8</v>
      </c>
      <c r="K7" s="41" t="s">
        <v>15</v>
      </c>
      <c r="L7" s="41" t="s">
        <v>9</v>
      </c>
      <c r="M7" s="41" t="s">
        <v>10</v>
      </c>
      <c r="N7" s="41" t="s">
        <v>38</v>
      </c>
      <c r="O7" s="41" t="s">
        <v>39</v>
      </c>
      <c r="P7" s="42" t="s">
        <v>11</v>
      </c>
      <c r="Q7" s="30" t="s">
        <v>12</v>
      </c>
      <c r="R7" s="30" t="s">
        <v>16</v>
      </c>
      <c r="S7" s="30" t="s">
        <v>36</v>
      </c>
    </row>
    <row r="8" spans="1:19" x14ac:dyDescent="0.25">
      <c r="B8" s="2"/>
      <c r="C8" s="112"/>
      <c r="D8" s="128"/>
      <c r="E8" s="4"/>
      <c r="F8" s="4"/>
      <c r="G8" s="4"/>
      <c r="H8" s="72"/>
      <c r="I8" s="5" t="s">
        <v>13</v>
      </c>
      <c r="J8" s="5"/>
      <c r="K8" s="5"/>
      <c r="L8" s="6">
        <v>0.55000000000000004</v>
      </c>
      <c r="M8" s="2"/>
      <c r="N8" s="2"/>
      <c r="O8" s="2"/>
      <c r="P8" s="3"/>
      <c r="Q8" s="3"/>
      <c r="R8" s="3"/>
      <c r="S8" s="61"/>
    </row>
    <row r="9" spans="1:19" x14ac:dyDescent="0.25">
      <c r="A9">
        <v>1</v>
      </c>
      <c r="B9" s="85"/>
      <c r="C9" s="123"/>
      <c r="D9" s="124"/>
      <c r="E9" s="124"/>
      <c r="F9" s="124"/>
      <c r="G9" s="125"/>
      <c r="H9" s="73"/>
      <c r="I9" s="86"/>
      <c r="J9" s="36"/>
      <c r="K9" s="36"/>
      <c r="L9" s="33"/>
      <c r="M9" s="33" t="s">
        <v>31</v>
      </c>
      <c r="N9" s="33" t="s">
        <v>40</v>
      </c>
      <c r="O9" s="64">
        <v>1</v>
      </c>
      <c r="P9" s="56">
        <f>I9+L9*L$8</f>
        <v>0</v>
      </c>
      <c r="Q9" s="88">
        <v>0</v>
      </c>
      <c r="R9" s="58">
        <f>P9-Q9</f>
        <v>0</v>
      </c>
      <c r="S9" s="33" t="s">
        <v>63</v>
      </c>
    </row>
    <row r="10" spans="1:19" x14ac:dyDescent="0.25">
      <c r="A10">
        <f>A9+1</f>
        <v>2</v>
      </c>
      <c r="B10" s="85"/>
      <c r="C10" s="123"/>
      <c r="D10" s="124"/>
      <c r="E10" s="124"/>
      <c r="F10" s="124"/>
      <c r="G10" s="125"/>
      <c r="H10" s="73"/>
      <c r="I10" s="86"/>
      <c r="J10" s="36"/>
      <c r="K10" s="36"/>
      <c r="L10" s="33"/>
      <c r="M10" s="33" t="s">
        <v>31</v>
      </c>
      <c r="N10" s="33" t="s">
        <v>40</v>
      </c>
      <c r="O10" s="67">
        <v>1</v>
      </c>
      <c r="P10" s="59">
        <f t="shared" ref="P10:P11" si="0">I10+L10*L$8</f>
        <v>0</v>
      </c>
      <c r="Q10" s="60">
        <v>0</v>
      </c>
      <c r="R10" s="59">
        <f t="shared" ref="R10:R11" si="1">P10-Q10</f>
        <v>0</v>
      </c>
      <c r="S10" s="33" t="s">
        <v>63</v>
      </c>
    </row>
    <row r="11" spans="1:19" x14ac:dyDescent="0.25">
      <c r="A11">
        <f t="shared" ref="A11:A74" si="2">A10+1</f>
        <v>3</v>
      </c>
      <c r="B11" s="87"/>
      <c r="C11" s="123"/>
      <c r="D11" s="124"/>
      <c r="E11" s="124"/>
      <c r="F11" s="124"/>
      <c r="G11" s="125"/>
      <c r="H11" s="73"/>
      <c r="I11" s="86"/>
      <c r="J11" s="36"/>
      <c r="K11" s="36"/>
      <c r="L11" s="33"/>
      <c r="M11" s="33" t="s">
        <v>31</v>
      </c>
      <c r="N11" s="33" t="s">
        <v>40</v>
      </c>
      <c r="O11" s="67">
        <v>1</v>
      </c>
      <c r="P11" s="59">
        <f t="shared" si="0"/>
        <v>0</v>
      </c>
      <c r="Q11" s="60">
        <v>0</v>
      </c>
      <c r="R11" s="59">
        <f t="shared" si="1"/>
        <v>0</v>
      </c>
      <c r="S11" s="33" t="s">
        <v>63</v>
      </c>
    </row>
    <row r="12" spans="1:19" x14ac:dyDescent="0.25">
      <c r="A12">
        <f t="shared" si="2"/>
        <v>4</v>
      </c>
      <c r="B12" s="85"/>
      <c r="C12" s="123"/>
      <c r="D12" s="124"/>
      <c r="E12" s="124"/>
      <c r="F12" s="124"/>
      <c r="G12" s="125"/>
      <c r="H12" s="73"/>
      <c r="I12" s="86"/>
      <c r="J12" s="36"/>
      <c r="K12" s="36"/>
      <c r="L12" s="33"/>
      <c r="M12" s="33" t="s">
        <v>31</v>
      </c>
      <c r="N12" s="33" t="s">
        <v>40</v>
      </c>
      <c r="O12" s="64">
        <v>1</v>
      </c>
      <c r="P12" s="57">
        <f t="shared" ref="P12" si="3">I12+L12*L$8</f>
        <v>0</v>
      </c>
      <c r="Q12" s="60">
        <v>0</v>
      </c>
      <c r="R12" s="58">
        <f t="shared" ref="R12" si="4">P12-Q12</f>
        <v>0</v>
      </c>
      <c r="S12" s="33" t="s">
        <v>63</v>
      </c>
    </row>
    <row r="13" spans="1:19" x14ac:dyDescent="0.25">
      <c r="A13">
        <f t="shared" si="2"/>
        <v>5</v>
      </c>
      <c r="B13" s="85"/>
      <c r="C13" s="123"/>
      <c r="D13" s="124"/>
      <c r="E13" s="124"/>
      <c r="F13" s="124"/>
      <c r="G13" s="125"/>
      <c r="H13" s="73"/>
      <c r="I13" s="86"/>
      <c r="J13" s="36"/>
      <c r="K13" s="36"/>
      <c r="L13" s="33"/>
      <c r="M13" s="33" t="s">
        <v>31</v>
      </c>
      <c r="N13" s="33" t="s">
        <v>40</v>
      </c>
      <c r="O13" s="67">
        <v>1</v>
      </c>
      <c r="P13" s="59">
        <f t="shared" ref="P13:P79" si="5">I13+L13*L$8</f>
        <v>0</v>
      </c>
      <c r="Q13" s="60">
        <v>0</v>
      </c>
      <c r="R13" s="59">
        <f t="shared" ref="R13:R80" si="6">P13-Q13</f>
        <v>0</v>
      </c>
      <c r="S13" s="33" t="s">
        <v>63</v>
      </c>
    </row>
    <row r="14" spans="1:19" x14ac:dyDescent="0.25">
      <c r="A14">
        <f t="shared" si="2"/>
        <v>6</v>
      </c>
      <c r="B14" s="87"/>
      <c r="C14" s="123"/>
      <c r="D14" s="124"/>
      <c r="E14" s="124"/>
      <c r="F14" s="124"/>
      <c r="G14" s="125"/>
      <c r="H14" s="73"/>
      <c r="I14" s="86"/>
      <c r="J14" s="36"/>
      <c r="K14" s="36"/>
      <c r="L14" s="33"/>
      <c r="M14" s="33" t="s">
        <v>31</v>
      </c>
      <c r="N14" s="33" t="s">
        <v>40</v>
      </c>
      <c r="O14" s="67">
        <v>1</v>
      </c>
      <c r="P14" s="59">
        <f t="shared" si="5"/>
        <v>0</v>
      </c>
      <c r="Q14" s="60">
        <v>0</v>
      </c>
      <c r="R14" s="59">
        <f t="shared" si="6"/>
        <v>0</v>
      </c>
      <c r="S14" s="33" t="s">
        <v>63</v>
      </c>
    </row>
    <row r="15" spans="1:19" x14ac:dyDescent="0.25">
      <c r="A15">
        <f t="shared" si="2"/>
        <v>7</v>
      </c>
      <c r="B15" s="53"/>
      <c r="C15" s="106"/>
      <c r="D15" s="121"/>
      <c r="E15" s="121"/>
      <c r="F15" s="121"/>
      <c r="G15" s="122"/>
      <c r="H15" s="73"/>
      <c r="I15" s="55"/>
      <c r="J15" s="36"/>
      <c r="K15" s="36"/>
      <c r="L15" s="33"/>
      <c r="M15" s="33" t="s">
        <v>31</v>
      </c>
      <c r="N15" s="33" t="s">
        <v>40</v>
      </c>
      <c r="O15" s="64">
        <v>1</v>
      </c>
      <c r="P15" s="57">
        <f t="shared" si="5"/>
        <v>0</v>
      </c>
      <c r="Q15" s="60">
        <v>0</v>
      </c>
      <c r="R15" s="58">
        <f t="shared" si="6"/>
        <v>0</v>
      </c>
      <c r="S15" s="33"/>
    </row>
    <row r="16" spans="1:19" x14ac:dyDescent="0.25">
      <c r="A16">
        <f t="shared" si="2"/>
        <v>8</v>
      </c>
      <c r="B16" s="84"/>
      <c r="C16" s="106"/>
      <c r="D16" s="121"/>
      <c r="E16" s="121"/>
      <c r="F16" s="121"/>
      <c r="G16" s="122"/>
      <c r="H16" s="73"/>
      <c r="I16" s="55"/>
      <c r="J16" s="36"/>
      <c r="K16" s="36"/>
      <c r="L16" s="33"/>
      <c r="M16" s="33" t="s">
        <v>31</v>
      </c>
      <c r="N16" s="33" t="s">
        <v>40</v>
      </c>
      <c r="O16" s="64">
        <v>1</v>
      </c>
      <c r="P16" s="57">
        <f t="shared" si="5"/>
        <v>0</v>
      </c>
      <c r="Q16" s="60">
        <v>0</v>
      </c>
      <c r="R16" s="58">
        <f t="shared" ref="R16" si="7">P16-Q16</f>
        <v>0</v>
      </c>
      <c r="S16" s="33"/>
    </row>
    <row r="17" spans="1:19" x14ac:dyDescent="0.25">
      <c r="A17">
        <f t="shared" si="2"/>
        <v>9</v>
      </c>
      <c r="B17" s="54"/>
      <c r="C17" s="106"/>
      <c r="D17" s="121"/>
      <c r="E17" s="121"/>
      <c r="F17" s="121"/>
      <c r="G17" s="122"/>
      <c r="H17" s="73"/>
      <c r="I17" s="55"/>
      <c r="J17" s="36"/>
      <c r="K17" s="36"/>
      <c r="L17" s="33"/>
      <c r="M17" s="33" t="s">
        <v>31</v>
      </c>
      <c r="N17" s="33" t="s">
        <v>40</v>
      </c>
      <c r="O17" s="67">
        <v>1</v>
      </c>
      <c r="P17" s="59">
        <f t="shared" si="5"/>
        <v>0</v>
      </c>
      <c r="Q17" s="60">
        <v>0</v>
      </c>
      <c r="R17" s="59">
        <f t="shared" si="6"/>
        <v>0</v>
      </c>
      <c r="S17" s="33"/>
    </row>
    <row r="18" spans="1:19" x14ac:dyDescent="0.25">
      <c r="A18">
        <f t="shared" si="2"/>
        <v>10</v>
      </c>
      <c r="B18" s="84"/>
      <c r="C18" s="106"/>
      <c r="D18" s="121"/>
      <c r="E18" s="121"/>
      <c r="F18" s="121"/>
      <c r="G18" s="122"/>
      <c r="H18" s="73"/>
      <c r="I18" s="55"/>
      <c r="J18" s="36"/>
      <c r="K18" s="36"/>
      <c r="L18" s="33"/>
      <c r="M18" s="33" t="s">
        <v>31</v>
      </c>
      <c r="N18" s="33" t="s">
        <v>40</v>
      </c>
      <c r="O18" s="64">
        <v>1</v>
      </c>
      <c r="P18" s="57">
        <f t="shared" ref="P18:P30" si="8">I18+L18*L$8</f>
        <v>0</v>
      </c>
      <c r="Q18" s="60">
        <v>0</v>
      </c>
      <c r="R18" s="58">
        <f t="shared" si="6"/>
        <v>0</v>
      </c>
      <c r="S18" s="33"/>
    </row>
    <row r="19" spans="1:19" x14ac:dyDescent="0.25">
      <c r="A19">
        <f t="shared" si="2"/>
        <v>11</v>
      </c>
      <c r="B19" s="84"/>
      <c r="C19" s="106"/>
      <c r="D19" s="121"/>
      <c r="E19" s="121"/>
      <c r="F19" s="121"/>
      <c r="G19" s="122"/>
      <c r="H19" s="73"/>
      <c r="I19" s="55"/>
      <c r="J19" s="36"/>
      <c r="K19" s="36"/>
      <c r="L19" s="33"/>
      <c r="M19" s="33" t="s">
        <v>31</v>
      </c>
      <c r="N19" s="33" t="s">
        <v>40</v>
      </c>
      <c r="O19" s="66">
        <v>1</v>
      </c>
      <c r="P19" s="57">
        <f t="shared" si="8"/>
        <v>0</v>
      </c>
      <c r="Q19" s="60">
        <v>0</v>
      </c>
      <c r="R19" s="58">
        <f t="shared" si="6"/>
        <v>0</v>
      </c>
      <c r="S19" s="33"/>
    </row>
    <row r="20" spans="1:19" x14ac:dyDescent="0.25">
      <c r="A20">
        <f t="shared" si="2"/>
        <v>12</v>
      </c>
      <c r="B20" s="84"/>
      <c r="C20" s="106"/>
      <c r="D20" s="121"/>
      <c r="E20" s="121"/>
      <c r="F20" s="121"/>
      <c r="G20" s="122"/>
      <c r="H20" s="73"/>
      <c r="I20" s="55"/>
      <c r="J20" s="36"/>
      <c r="K20" s="36"/>
      <c r="L20" s="33"/>
      <c r="M20" s="33" t="s">
        <v>31</v>
      </c>
      <c r="N20" s="33" t="s">
        <v>40</v>
      </c>
      <c r="O20" s="66">
        <v>1</v>
      </c>
      <c r="P20" s="57">
        <f t="shared" si="8"/>
        <v>0</v>
      </c>
      <c r="Q20" s="60">
        <v>0</v>
      </c>
      <c r="R20" s="58">
        <f t="shared" si="6"/>
        <v>0</v>
      </c>
      <c r="S20" s="33"/>
    </row>
    <row r="21" spans="1:19" x14ac:dyDescent="0.25">
      <c r="A21">
        <f t="shared" si="2"/>
        <v>13</v>
      </c>
      <c r="B21" s="53"/>
      <c r="C21" s="106"/>
      <c r="D21" s="121"/>
      <c r="E21" s="121"/>
      <c r="F21" s="121"/>
      <c r="G21" s="122"/>
      <c r="H21" s="73"/>
      <c r="I21" s="55"/>
      <c r="J21" s="36"/>
      <c r="K21" s="36"/>
      <c r="L21" s="33"/>
      <c r="M21" s="33" t="s">
        <v>31</v>
      </c>
      <c r="N21" s="33" t="s">
        <v>40</v>
      </c>
      <c r="O21" s="65">
        <v>1</v>
      </c>
      <c r="P21" s="59">
        <f t="shared" si="8"/>
        <v>0</v>
      </c>
      <c r="Q21" s="60">
        <v>0</v>
      </c>
      <c r="R21" s="59">
        <f t="shared" ref="R21:R33" si="9">P21-Q21</f>
        <v>0</v>
      </c>
      <c r="S21" s="33"/>
    </row>
    <row r="22" spans="1:19" x14ac:dyDescent="0.25">
      <c r="A22">
        <f t="shared" si="2"/>
        <v>14</v>
      </c>
      <c r="B22" s="54"/>
      <c r="C22" s="106"/>
      <c r="D22" s="121"/>
      <c r="E22" s="121"/>
      <c r="F22" s="121"/>
      <c r="G22" s="122"/>
      <c r="H22" s="73"/>
      <c r="I22" s="55"/>
      <c r="J22" s="36"/>
      <c r="K22" s="36"/>
      <c r="L22" s="33"/>
      <c r="M22" s="33" t="s">
        <v>31</v>
      </c>
      <c r="N22" s="33" t="s">
        <v>40</v>
      </c>
      <c r="O22" s="67">
        <v>1</v>
      </c>
      <c r="P22" s="59">
        <f t="shared" si="8"/>
        <v>0</v>
      </c>
      <c r="Q22" s="60">
        <v>0</v>
      </c>
      <c r="R22" s="59">
        <f t="shared" si="9"/>
        <v>0</v>
      </c>
      <c r="S22" s="33"/>
    </row>
    <row r="23" spans="1:19" x14ac:dyDescent="0.25">
      <c r="A23">
        <f t="shared" si="2"/>
        <v>15</v>
      </c>
      <c r="B23" s="54"/>
      <c r="C23" s="106"/>
      <c r="D23" s="121"/>
      <c r="E23" s="121"/>
      <c r="F23" s="121"/>
      <c r="G23" s="122"/>
      <c r="H23" s="73"/>
      <c r="I23" s="55"/>
      <c r="J23" s="36"/>
      <c r="K23" s="36"/>
      <c r="L23" s="33"/>
      <c r="M23" s="33" t="s">
        <v>31</v>
      </c>
      <c r="N23" s="33" t="s">
        <v>40</v>
      </c>
      <c r="O23" s="67">
        <v>1</v>
      </c>
      <c r="P23" s="59">
        <f t="shared" si="8"/>
        <v>0</v>
      </c>
      <c r="Q23" s="60">
        <f t="shared" ref="Q23" si="10">P23/1.13*0.13</f>
        <v>0</v>
      </c>
      <c r="R23" s="59">
        <f t="shared" si="9"/>
        <v>0</v>
      </c>
      <c r="S23" s="33"/>
    </row>
    <row r="24" spans="1:19" x14ac:dyDescent="0.25">
      <c r="A24">
        <f t="shared" si="2"/>
        <v>16</v>
      </c>
      <c r="B24" s="54"/>
      <c r="C24" s="106"/>
      <c r="D24" s="121"/>
      <c r="E24" s="121"/>
      <c r="F24" s="121"/>
      <c r="G24" s="122"/>
      <c r="H24" s="73"/>
      <c r="I24" s="55"/>
      <c r="J24" s="36"/>
      <c r="K24" s="36"/>
      <c r="L24" s="33"/>
      <c r="M24" s="33" t="s">
        <v>31</v>
      </c>
      <c r="N24" s="33" t="s">
        <v>40</v>
      </c>
      <c r="O24" s="67">
        <v>1</v>
      </c>
      <c r="P24" s="59">
        <f t="shared" si="8"/>
        <v>0</v>
      </c>
      <c r="Q24" s="60">
        <v>0</v>
      </c>
      <c r="R24" s="59">
        <f t="shared" si="9"/>
        <v>0</v>
      </c>
      <c r="S24" s="33"/>
    </row>
    <row r="25" spans="1:19" x14ac:dyDescent="0.25">
      <c r="A25">
        <f t="shared" si="2"/>
        <v>17</v>
      </c>
      <c r="B25" s="53"/>
      <c r="C25" s="106"/>
      <c r="D25" s="121"/>
      <c r="E25" s="121"/>
      <c r="F25" s="121"/>
      <c r="G25" s="122"/>
      <c r="H25" s="73"/>
      <c r="I25" s="55"/>
      <c r="J25" s="36"/>
      <c r="K25" s="36"/>
      <c r="L25" s="33"/>
      <c r="M25" s="33" t="s">
        <v>31</v>
      </c>
      <c r="N25" s="33" t="s">
        <v>40</v>
      </c>
      <c r="O25" s="64">
        <v>1</v>
      </c>
      <c r="P25" s="57">
        <f t="shared" si="8"/>
        <v>0</v>
      </c>
      <c r="Q25" s="60">
        <v>0</v>
      </c>
      <c r="R25" s="58">
        <f t="shared" si="9"/>
        <v>0</v>
      </c>
      <c r="S25" s="33"/>
    </row>
    <row r="26" spans="1:19" x14ac:dyDescent="0.25">
      <c r="A26">
        <f t="shared" si="2"/>
        <v>18</v>
      </c>
      <c r="B26" s="54"/>
      <c r="C26" s="106"/>
      <c r="D26" s="121"/>
      <c r="E26" s="121"/>
      <c r="F26" s="121"/>
      <c r="G26" s="122"/>
      <c r="H26" s="73"/>
      <c r="I26" s="55"/>
      <c r="J26" s="36"/>
      <c r="K26" s="36"/>
      <c r="L26" s="33"/>
      <c r="M26" s="33" t="s">
        <v>31</v>
      </c>
      <c r="N26" s="33" t="s">
        <v>40</v>
      </c>
      <c r="O26" s="67">
        <v>1</v>
      </c>
      <c r="P26" s="59">
        <f t="shared" si="8"/>
        <v>0</v>
      </c>
      <c r="Q26" s="60">
        <v>0</v>
      </c>
      <c r="R26" s="59">
        <f t="shared" si="9"/>
        <v>0</v>
      </c>
      <c r="S26" s="33"/>
    </row>
    <row r="27" spans="1:19" x14ac:dyDescent="0.25">
      <c r="A27">
        <f t="shared" si="2"/>
        <v>19</v>
      </c>
      <c r="B27" s="54"/>
      <c r="C27" s="106"/>
      <c r="D27" s="121"/>
      <c r="E27" s="121"/>
      <c r="F27" s="121"/>
      <c r="G27" s="122"/>
      <c r="H27" s="73"/>
      <c r="I27" s="55"/>
      <c r="J27" s="36"/>
      <c r="K27" s="36"/>
      <c r="L27" s="33"/>
      <c r="M27" s="33" t="s">
        <v>31</v>
      </c>
      <c r="N27" s="33" t="s">
        <v>40</v>
      </c>
      <c r="O27" s="67">
        <v>1</v>
      </c>
      <c r="P27" s="59">
        <f t="shared" si="8"/>
        <v>0</v>
      </c>
      <c r="Q27" s="60">
        <v>0</v>
      </c>
      <c r="R27" s="59">
        <f t="shared" si="9"/>
        <v>0</v>
      </c>
      <c r="S27" s="33"/>
    </row>
    <row r="28" spans="1:19" x14ac:dyDescent="0.25">
      <c r="A28">
        <f t="shared" si="2"/>
        <v>20</v>
      </c>
      <c r="B28" s="53"/>
      <c r="C28" s="106"/>
      <c r="D28" s="121"/>
      <c r="E28" s="121"/>
      <c r="F28" s="121"/>
      <c r="G28" s="122"/>
      <c r="H28" s="73"/>
      <c r="I28" s="55"/>
      <c r="J28" s="36"/>
      <c r="K28" s="36"/>
      <c r="L28" s="33"/>
      <c r="M28" s="33" t="s">
        <v>31</v>
      </c>
      <c r="N28" s="33" t="s">
        <v>40</v>
      </c>
      <c r="O28" s="64">
        <v>1</v>
      </c>
      <c r="P28" s="57">
        <f t="shared" si="8"/>
        <v>0</v>
      </c>
      <c r="Q28" s="60">
        <v>0</v>
      </c>
      <c r="R28" s="58">
        <f t="shared" si="9"/>
        <v>0</v>
      </c>
      <c r="S28" s="33"/>
    </row>
    <row r="29" spans="1:19" x14ac:dyDescent="0.25">
      <c r="A29">
        <f t="shared" si="2"/>
        <v>21</v>
      </c>
      <c r="B29" s="84"/>
      <c r="C29" s="106"/>
      <c r="D29" s="121"/>
      <c r="E29" s="121"/>
      <c r="F29" s="121"/>
      <c r="G29" s="122"/>
      <c r="H29" s="73"/>
      <c r="I29" s="55"/>
      <c r="J29" s="36"/>
      <c r="K29" s="36"/>
      <c r="L29" s="33"/>
      <c r="M29" s="33" t="s">
        <v>31</v>
      </c>
      <c r="N29" s="33" t="s">
        <v>40</v>
      </c>
      <c r="O29" s="64">
        <v>1</v>
      </c>
      <c r="P29" s="57">
        <f t="shared" si="8"/>
        <v>0</v>
      </c>
      <c r="Q29" s="60">
        <v>0</v>
      </c>
      <c r="R29" s="58">
        <f t="shared" si="9"/>
        <v>0</v>
      </c>
      <c r="S29" s="33"/>
    </row>
    <row r="30" spans="1:19" x14ac:dyDescent="0.25">
      <c r="A30">
        <f t="shared" si="2"/>
        <v>22</v>
      </c>
      <c r="B30" s="54"/>
      <c r="C30" s="106"/>
      <c r="D30" s="121"/>
      <c r="E30" s="121"/>
      <c r="F30" s="121"/>
      <c r="G30" s="122"/>
      <c r="H30" s="73"/>
      <c r="I30" s="55"/>
      <c r="J30" s="36"/>
      <c r="K30" s="36"/>
      <c r="L30" s="33"/>
      <c r="M30" s="33" t="s">
        <v>31</v>
      </c>
      <c r="N30" s="33" t="s">
        <v>40</v>
      </c>
      <c r="O30" s="67">
        <v>1</v>
      </c>
      <c r="P30" s="59">
        <f t="shared" si="8"/>
        <v>0</v>
      </c>
      <c r="Q30" s="60">
        <v>0</v>
      </c>
      <c r="R30" s="59">
        <f t="shared" si="9"/>
        <v>0</v>
      </c>
      <c r="S30" s="33"/>
    </row>
    <row r="31" spans="1:19" x14ac:dyDescent="0.25">
      <c r="A31">
        <f t="shared" si="2"/>
        <v>23</v>
      </c>
      <c r="B31" s="84"/>
      <c r="C31" s="106"/>
      <c r="D31" s="121"/>
      <c r="E31" s="121"/>
      <c r="F31" s="121"/>
      <c r="G31" s="122"/>
      <c r="H31" s="73"/>
      <c r="I31" s="55"/>
      <c r="J31" s="36"/>
      <c r="K31" s="36"/>
      <c r="L31" s="33"/>
      <c r="M31" s="33" t="s">
        <v>31</v>
      </c>
      <c r="N31" s="33" t="s">
        <v>40</v>
      </c>
      <c r="O31" s="64">
        <v>1</v>
      </c>
      <c r="P31" s="57">
        <f t="shared" ref="P31:P76" si="11">I31+L31*L$8</f>
        <v>0</v>
      </c>
      <c r="Q31" s="60">
        <v>0</v>
      </c>
      <c r="R31" s="58">
        <f t="shared" si="9"/>
        <v>0</v>
      </c>
      <c r="S31" s="33"/>
    </row>
    <row r="32" spans="1:19" x14ac:dyDescent="0.25">
      <c r="A32">
        <f t="shared" si="2"/>
        <v>24</v>
      </c>
      <c r="B32" s="84"/>
      <c r="C32" s="106"/>
      <c r="D32" s="121"/>
      <c r="E32" s="121"/>
      <c r="F32" s="121"/>
      <c r="G32" s="122"/>
      <c r="H32" s="73"/>
      <c r="I32" s="55"/>
      <c r="J32" s="36"/>
      <c r="K32" s="36"/>
      <c r="L32" s="33"/>
      <c r="M32" s="33" t="s">
        <v>31</v>
      </c>
      <c r="N32" s="33" t="s">
        <v>40</v>
      </c>
      <c r="O32" s="66">
        <v>1</v>
      </c>
      <c r="P32" s="57">
        <f t="shared" si="11"/>
        <v>0</v>
      </c>
      <c r="Q32" s="60">
        <v>0</v>
      </c>
      <c r="R32" s="58">
        <f t="shared" si="9"/>
        <v>0</v>
      </c>
      <c r="S32" s="33"/>
    </row>
    <row r="33" spans="1:19" x14ac:dyDescent="0.25">
      <c r="A33">
        <f t="shared" si="2"/>
        <v>25</v>
      </c>
      <c r="B33" s="84"/>
      <c r="C33" s="106"/>
      <c r="D33" s="121"/>
      <c r="E33" s="121"/>
      <c r="F33" s="121"/>
      <c r="G33" s="122"/>
      <c r="H33" s="73"/>
      <c r="I33" s="55"/>
      <c r="J33" s="36"/>
      <c r="K33" s="36"/>
      <c r="L33" s="33"/>
      <c r="M33" s="33" t="s">
        <v>31</v>
      </c>
      <c r="N33" s="33" t="s">
        <v>40</v>
      </c>
      <c r="O33" s="66">
        <v>1</v>
      </c>
      <c r="P33" s="57">
        <f t="shared" si="11"/>
        <v>0</v>
      </c>
      <c r="Q33" s="60">
        <v>0</v>
      </c>
      <c r="R33" s="58">
        <f t="shared" si="9"/>
        <v>0</v>
      </c>
      <c r="S33" s="33"/>
    </row>
    <row r="34" spans="1:19" x14ac:dyDescent="0.25">
      <c r="A34">
        <f t="shared" si="2"/>
        <v>26</v>
      </c>
      <c r="B34" s="53"/>
      <c r="C34" s="106"/>
      <c r="D34" s="121"/>
      <c r="E34" s="121"/>
      <c r="F34" s="121"/>
      <c r="G34" s="122"/>
      <c r="H34" s="73"/>
      <c r="I34" s="55"/>
      <c r="J34" s="36"/>
      <c r="K34" s="36"/>
      <c r="L34" s="33"/>
      <c r="M34" s="33" t="s">
        <v>31</v>
      </c>
      <c r="N34" s="33" t="s">
        <v>40</v>
      </c>
      <c r="O34" s="65">
        <v>1</v>
      </c>
      <c r="P34" s="59">
        <f t="shared" si="11"/>
        <v>0</v>
      </c>
      <c r="Q34" s="60">
        <v>0</v>
      </c>
      <c r="R34" s="59">
        <f t="shared" ref="R34:R76" si="12">P34-Q34</f>
        <v>0</v>
      </c>
      <c r="S34" s="33"/>
    </row>
    <row r="35" spans="1:19" x14ac:dyDescent="0.25">
      <c r="A35">
        <f t="shared" si="2"/>
        <v>27</v>
      </c>
      <c r="B35" s="54"/>
      <c r="C35" s="106"/>
      <c r="D35" s="121"/>
      <c r="E35" s="121"/>
      <c r="F35" s="121"/>
      <c r="G35" s="122"/>
      <c r="H35" s="73"/>
      <c r="I35" s="55"/>
      <c r="J35" s="36"/>
      <c r="K35" s="36"/>
      <c r="L35" s="33"/>
      <c r="M35" s="33" t="s">
        <v>31</v>
      </c>
      <c r="N35" s="33" t="s">
        <v>40</v>
      </c>
      <c r="O35" s="67">
        <v>1</v>
      </c>
      <c r="P35" s="59">
        <f t="shared" si="11"/>
        <v>0</v>
      </c>
      <c r="Q35" s="60">
        <v>0</v>
      </c>
      <c r="R35" s="59">
        <f t="shared" si="12"/>
        <v>0</v>
      </c>
      <c r="S35" s="33"/>
    </row>
    <row r="36" spans="1:19" x14ac:dyDescent="0.25">
      <c r="A36">
        <f t="shared" si="2"/>
        <v>28</v>
      </c>
      <c r="B36" s="54"/>
      <c r="C36" s="106"/>
      <c r="D36" s="121"/>
      <c r="E36" s="121"/>
      <c r="F36" s="121"/>
      <c r="G36" s="122"/>
      <c r="H36" s="73"/>
      <c r="I36" s="55"/>
      <c r="J36" s="36"/>
      <c r="K36" s="36"/>
      <c r="L36" s="33"/>
      <c r="M36" s="33" t="s">
        <v>31</v>
      </c>
      <c r="N36" s="33" t="s">
        <v>40</v>
      </c>
      <c r="O36" s="67">
        <v>1</v>
      </c>
      <c r="P36" s="59">
        <f t="shared" si="11"/>
        <v>0</v>
      </c>
      <c r="Q36" s="60">
        <v>0</v>
      </c>
      <c r="R36" s="59">
        <f t="shared" si="12"/>
        <v>0</v>
      </c>
      <c r="S36" s="33"/>
    </row>
    <row r="37" spans="1:19" x14ac:dyDescent="0.25">
      <c r="A37">
        <f t="shared" si="2"/>
        <v>29</v>
      </c>
      <c r="B37" s="53"/>
      <c r="C37" s="106"/>
      <c r="D37" s="121"/>
      <c r="E37" s="121"/>
      <c r="F37" s="121"/>
      <c r="G37" s="122"/>
      <c r="H37" s="73"/>
      <c r="I37" s="55"/>
      <c r="J37" s="36"/>
      <c r="K37" s="36"/>
      <c r="L37" s="33"/>
      <c r="M37" s="33" t="s">
        <v>31</v>
      </c>
      <c r="N37" s="33" t="s">
        <v>40</v>
      </c>
      <c r="O37" s="64">
        <v>1</v>
      </c>
      <c r="P37" s="57">
        <f t="shared" si="11"/>
        <v>0</v>
      </c>
      <c r="Q37" s="60">
        <v>0</v>
      </c>
      <c r="R37" s="58">
        <f t="shared" si="12"/>
        <v>0</v>
      </c>
      <c r="S37" s="33"/>
    </row>
    <row r="38" spans="1:19" x14ac:dyDescent="0.25">
      <c r="A38">
        <f t="shared" si="2"/>
        <v>30</v>
      </c>
      <c r="B38" s="84"/>
      <c r="C38" s="106"/>
      <c r="D38" s="121"/>
      <c r="E38" s="121"/>
      <c r="F38" s="121"/>
      <c r="G38" s="122"/>
      <c r="H38" s="73"/>
      <c r="I38" s="55"/>
      <c r="J38" s="36"/>
      <c r="K38" s="36"/>
      <c r="L38" s="33"/>
      <c r="M38" s="33" t="s">
        <v>31</v>
      </c>
      <c r="N38" s="33" t="s">
        <v>40</v>
      </c>
      <c r="O38" s="64">
        <v>1</v>
      </c>
      <c r="P38" s="57">
        <f t="shared" si="11"/>
        <v>0</v>
      </c>
      <c r="Q38" s="60">
        <v>0</v>
      </c>
      <c r="R38" s="58">
        <f t="shared" si="12"/>
        <v>0</v>
      </c>
      <c r="S38" s="33"/>
    </row>
    <row r="39" spans="1:19" x14ac:dyDescent="0.25">
      <c r="A39">
        <f t="shared" si="2"/>
        <v>31</v>
      </c>
      <c r="B39" s="54"/>
      <c r="C39" s="106"/>
      <c r="D39" s="121"/>
      <c r="E39" s="121"/>
      <c r="F39" s="121"/>
      <c r="G39" s="122"/>
      <c r="H39" s="73"/>
      <c r="I39" s="55"/>
      <c r="J39" s="36"/>
      <c r="K39" s="36"/>
      <c r="L39" s="33"/>
      <c r="M39" s="33" t="s">
        <v>31</v>
      </c>
      <c r="N39" s="33" t="s">
        <v>40</v>
      </c>
      <c r="O39" s="67">
        <v>1</v>
      </c>
      <c r="P39" s="59">
        <f t="shared" si="11"/>
        <v>0</v>
      </c>
      <c r="Q39" s="60">
        <v>0</v>
      </c>
      <c r="R39" s="59">
        <f t="shared" si="12"/>
        <v>0</v>
      </c>
      <c r="S39" s="33"/>
    </row>
    <row r="40" spans="1:19" x14ac:dyDescent="0.25">
      <c r="A40">
        <f t="shared" si="2"/>
        <v>32</v>
      </c>
      <c r="B40" s="54"/>
      <c r="C40" s="106"/>
      <c r="D40" s="121"/>
      <c r="E40" s="121"/>
      <c r="F40" s="121"/>
      <c r="G40" s="122"/>
      <c r="H40" s="73"/>
      <c r="I40" s="55"/>
      <c r="J40" s="36"/>
      <c r="K40" s="36"/>
      <c r="L40" s="33"/>
      <c r="M40" s="33" t="s">
        <v>31</v>
      </c>
      <c r="N40" s="33" t="s">
        <v>40</v>
      </c>
      <c r="O40" s="67">
        <v>1</v>
      </c>
      <c r="P40" s="59">
        <f t="shared" si="11"/>
        <v>0</v>
      </c>
      <c r="Q40" s="60">
        <v>0</v>
      </c>
      <c r="R40" s="59">
        <f t="shared" si="12"/>
        <v>0</v>
      </c>
      <c r="S40" s="33"/>
    </row>
    <row r="41" spans="1:19" x14ac:dyDescent="0.25">
      <c r="A41">
        <f t="shared" si="2"/>
        <v>33</v>
      </c>
      <c r="B41" s="54"/>
      <c r="C41" s="106"/>
      <c r="D41" s="121"/>
      <c r="E41" s="121"/>
      <c r="F41" s="121"/>
      <c r="G41" s="122"/>
      <c r="H41" s="73"/>
      <c r="I41" s="55"/>
      <c r="J41" s="36"/>
      <c r="K41" s="36"/>
      <c r="L41" s="33"/>
      <c r="M41" s="33" t="s">
        <v>31</v>
      </c>
      <c r="N41" s="33" t="s">
        <v>40</v>
      </c>
      <c r="O41" s="67">
        <v>1</v>
      </c>
      <c r="P41" s="59">
        <f t="shared" si="11"/>
        <v>0</v>
      </c>
      <c r="Q41" s="60">
        <f t="shared" ref="Q41" si="13">P41/1.13*0.13</f>
        <v>0</v>
      </c>
      <c r="R41" s="59">
        <f t="shared" si="12"/>
        <v>0</v>
      </c>
      <c r="S41" s="33"/>
    </row>
    <row r="42" spans="1:19" x14ac:dyDescent="0.25">
      <c r="A42">
        <f t="shared" si="2"/>
        <v>34</v>
      </c>
      <c r="B42" s="54"/>
      <c r="C42" s="106"/>
      <c r="D42" s="121"/>
      <c r="E42" s="121"/>
      <c r="F42" s="121"/>
      <c r="G42" s="122"/>
      <c r="H42" s="73"/>
      <c r="I42" s="55"/>
      <c r="J42" s="36"/>
      <c r="K42" s="36"/>
      <c r="L42" s="33"/>
      <c r="M42" s="33" t="s">
        <v>31</v>
      </c>
      <c r="N42" s="33" t="s">
        <v>40</v>
      </c>
      <c r="O42" s="67">
        <v>1</v>
      </c>
      <c r="P42" s="59">
        <f t="shared" si="11"/>
        <v>0</v>
      </c>
      <c r="Q42" s="60">
        <v>0</v>
      </c>
      <c r="R42" s="59">
        <f t="shared" si="12"/>
        <v>0</v>
      </c>
      <c r="S42" s="33"/>
    </row>
    <row r="43" spans="1:19" x14ac:dyDescent="0.25">
      <c r="A43">
        <f t="shared" si="2"/>
        <v>35</v>
      </c>
      <c r="B43" s="53"/>
      <c r="C43" s="106"/>
      <c r="D43" s="121"/>
      <c r="E43" s="121"/>
      <c r="F43" s="121"/>
      <c r="G43" s="122"/>
      <c r="H43" s="73"/>
      <c r="I43" s="55"/>
      <c r="J43" s="36"/>
      <c r="K43" s="36"/>
      <c r="L43" s="33"/>
      <c r="M43" s="33" t="s">
        <v>31</v>
      </c>
      <c r="N43" s="33" t="s">
        <v>40</v>
      </c>
      <c r="O43" s="64">
        <v>1</v>
      </c>
      <c r="P43" s="57">
        <f t="shared" si="11"/>
        <v>0</v>
      </c>
      <c r="Q43" s="60">
        <v>0</v>
      </c>
      <c r="R43" s="58">
        <f t="shared" si="12"/>
        <v>0</v>
      </c>
      <c r="S43" s="33"/>
    </row>
    <row r="44" spans="1:19" x14ac:dyDescent="0.25">
      <c r="A44">
        <f t="shared" si="2"/>
        <v>36</v>
      </c>
      <c r="B44" s="54"/>
      <c r="C44" s="106"/>
      <c r="D44" s="121"/>
      <c r="E44" s="121"/>
      <c r="F44" s="121"/>
      <c r="G44" s="122"/>
      <c r="H44" s="73"/>
      <c r="I44" s="55"/>
      <c r="J44" s="36"/>
      <c r="K44" s="36"/>
      <c r="L44" s="33"/>
      <c r="M44" s="33" t="s">
        <v>31</v>
      </c>
      <c r="N44" s="33" t="s">
        <v>40</v>
      </c>
      <c r="O44" s="67">
        <v>1</v>
      </c>
      <c r="P44" s="59">
        <f t="shared" si="11"/>
        <v>0</v>
      </c>
      <c r="Q44" s="60">
        <v>0</v>
      </c>
      <c r="R44" s="59">
        <f t="shared" si="12"/>
        <v>0</v>
      </c>
      <c r="S44" s="33"/>
    </row>
    <row r="45" spans="1:19" x14ac:dyDescent="0.25">
      <c r="A45">
        <f t="shared" si="2"/>
        <v>37</v>
      </c>
      <c r="B45" s="54"/>
      <c r="C45" s="106"/>
      <c r="D45" s="121"/>
      <c r="E45" s="121"/>
      <c r="F45" s="121"/>
      <c r="G45" s="122"/>
      <c r="H45" s="73"/>
      <c r="I45" s="55"/>
      <c r="J45" s="36"/>
      <c r="K45" s="36"/>
      <c r="L45" s="33"/>
      <c r="M45" s="33" t="s">
        <v>31</v>
      </c>
      <c r="N45" s="33" t="s">
        <v>40</v>
      </c>
      <c r="O45" s="67">
        <v>1</v>
      </c>
      <c r="P45" s="59">
        <f t="shared" si="11"/>
        <v>0</v>
      </c>
      <c r="Q45" s="60">
        <v>0</v>
      </c>
      <c r="R45" s="59">
        <f t="shared" si="12"/>
        <v>0</v>
      </c>
      <c r="S45" s="33"/>
    </row>
    <row r="46" spans="1:19" x14ac:dyDescent="0.25">
      <c r="A46">
        <f t="shared" si="2"/>
        <v>38</v>
      </c>
      <c r="B46" s="53"/>
      <c r="C46" s="106"/>
      <c r="D46" s="121"/>
      <c r="E46" s="121"/>
      <c r="F46" s="121"/>
      <c r="G46" s="122"/>
      <c r="H46" s="73"/>
      <c r="I46" s="55"/>
      <c r="J46" s="36"/>
      <c r="K46" s="36"/>
      <c r="L46" s="33"/>
      <c r="M46" s="33" t="s">
        <v>31</v>
      </c>
      <c r="N46" s="33" t="s">
        <v>40</v>
      </c>
      <c r="O46" s="64">
        <v>1</v>
      </c>
      <c r="P46" s="57">
        <f t="shared" si="11"/>
        <v>0</v>
      </c>
      <c r="Q46" s="60">
        <v>0</v>
      </c>
      <c r="R46" s="58">
        <f t="shared" si="12"/>
        <v>0</v>
      </c>
      <c r="S46" s="33"/>
    </row>
    <row r="47" spans="1:19" x14ac:dyDescent="0.25">
      <c r="A47">
        <f t="shared" si="2"/>
        <v>39</v>
      </c>
      <c r="B47" s="84"/>
      <c r="C47" s="106"/>
      <c r="D47" s="121"/>
      <c r="E47" s="121"/>
      <c r="F47" s="121"/>
      <c r="G47" s="122"/>
      <c r="H47" s="73"/>
      <c r="I47" s="55"/>
      <c r="J47" s="36"/>
      <c r="K47" s="36"/>
      <c r="L47" s="33"/>
      <c r="M47" s="33" t="s">
        <v>31</v>
      </c>
      <c r="N47" s="33" t="s">
        <v>40</v>
      </c>
      <c r="O47" s="64">
        <v>1</v>
      </c>
      <c r="P47" s="57">
        <f t="shared" si="11"/>
        <v>0</v>
      </c>
      <c r="Q47" s="60">
        <v>0</v>
      </c>
      <c r="R47" s="58">
        <f t="shared" si="12"/>
        <v>0</v>
      </c>
      <c r="S47" s="33"/>
    </row>
    <row r="48" spans="1:19" x14ac:dyDescent="0.25">
      <c r="A48">
        <f t="shared" si="2"/>
        <v>40</v>
      </c>
      <c r="B48" s="54"/>
      <c r="C48" s="106"/>
      <c r="D48" s="121"/>
      <c r="E48" s="121"/>
      <c r="F48" s="121"/>
      <c r="G48" s="122"/>
      <c r="H48" s="73"/>
      <c r="I48" s="55"/>
      <c r="J48" s="36"/>
      <c r="K48" s="36"/>
      <c r="L48" s="33"/>
      <c r="M48" s="33" t="s">
        <v>31</v>
      </c>
      <c r="N48" s="33" t="s">
        <v>40</v>
      </c>
      <c r="O48" s="67">
        <v>1</v>
      </c>
      <c r="P48" s="59">
        <f t="shared" si="11"/>
        <v>0</v>
      </c>
      <c r="Q48" s="60">
        <v>0</v>
      </c>
      <c r="R48" s="59">
        <f t="shared" si="12"/>
        <v>0</v>
      </c>
      <c r="S48" s="33"/>
    </row>
    <row r="49" spans="1:19" x14ac:dyDescent="0.25">
      <c r="A49">
        <f t="shared" si="2"/>
        <v>41</v>
      </c>
      <c r="B49" s="84"/>
      <c r="C49" s="106"/>
      <c r="D49" s="121"/>
      <c r="E49" s="121"/>
      <c r="F49" s="121"/>
      <c r="G49" s="122"/>
      <c r="H49" s="73"/>
      <c r="I49" s="55"/>
      <c r="J49" s="36"/>
      <c r="K49" s="36"/>
      <c r="L49" s="33"/>
      <c r="M49" s="33" t="s">
        <v>31</v>
      </c>
      <c r="N49" s="33" t="s">
        <v>40</v>
      </c>
      <c r="O49" s="64">
        <v>1</v>
      </c>
      <c r="P49" s="57">
        <f t="shared" ref="P49:P57" si="14">I49+L49*L$8</f>
        <v>0</v>
      </c>
      <c r="Q49" s="60">
        <v>0</v>
      </c>
      <c r="R49" s="58">
        <f t="shared" si="12"/>
        <v>0</v>
      </c>
      <c r="S49" s="33"/>
    </row>
    <row r="50" spans="1:19" x14ac:dyDescent="0.25">
      <c r="A50">
        <f t="shared" si="2"/>
        <v>42</v>
      </c>
      <c r="B50" s="84"/>
      <c r="C50" s="106"/>
      <c r="D50" s="121"/>
      <c r="E50" s="121"/>
      <c r="F50" s="121"/>
      <c r="G50" s="122"/>
      <c r="H50" s="73"/>
      <c r="I50" s="55"/>
      <c r="J50" s="36"/>
      <c r="K50" s="36"/>
      <c r="L50" s="33"/>
      <c r="M50" s="33" t="s">
        <v>31</v>
      </c>
      <c r="N50" s="33" t="s">
        <v>40</v>
      </c>
      <c r="O50" s="66">
        <v>1</v>
      </c>
      <c r="P50" s="57">
        <f t="shared" si="14"/>
        <v>0</v>
      </c>
      <c r="Q50" s="60">
        <v>0</v>
      </c>
      <c r="R50" s="58">
        <f t="shared" si="12"/>
        <v>0</v>
      </c>
      <c r="S50" s="33"/>
    </row>
    <row r="51" spans="1:19" x14ac:dyDescent="0.25">
      <c r="A51">
        <f t="shared" si="2"/>
        <v>43</v>
      </c>
      <c r="B51" s="84"/>
      <c r="C51" s="106"/>
      <c r="D51" s="121"/>
      <c r="E51" s="121"/>
      <c r="F51" s="121"/>
      <c r="G51" s="122"/>
      <c r="H51" s="73"/>
      <c r="I51" s="55"/>
      <c r="J51" s="36"/>
      <c r="K51" s="36"/>
      <c r="L51" s="33"/>
      <c r="M51" s="33" t="s">
        <v>31</v>
      </c>
      <c r="N51" s="33" t="s">
        <v>40</v>
      </c>
      <c r="O51" s="66">
        <v>1</v>
      </c>
      <c r="P51" s="57">
        <f t="shared" si="14"/>
        <v>0</v>
      </c>
      <c r="Q51" s="60">
        <v>0</v>
      </c>
      <c r="R51" s="58">
        <f t="shared" si="12"/>
        <v>0</v>
      </c>
      <c r="S51" s="33"/>
    </row>
    <row r="52" spans="1:19" x14ac:dyDescent="0.25">
      <c r="A52">
        <f t="shared" si="2"/>
        <v>44</v>
      </c>
      <c r="B52" s="53"/>
      <c r="C52" s="106"/>
      <c r="D52" s="121"/>
      <c r="E52" s="121"/>
      <c r="F52" s="121"/>
      <c r="G52" s="122"/>
      <c r="H52" s="73"/>
      <c r="I52" s="55"/>
      <c r="J52" s="36"/>
      <c r="K52" s="36"/>
      <c r="L52" s="33"/>
      <c r="M52" s="33" t="s">
        <v>31</v>
      </c>
      <c r="N52" s="33" t="s">
        <v>40</v>
      </c>
      <c r="O52" s="65">
        <v>1</v>
      </c>
      <c r="P52" s="59">
        <f t="shared" si="14"/>
        <v>0</v>
      </c>
      <c r="Q52" s="60">
        <v>0</v>
      </c>
      <c r="R52" s="59">
        <f t="shared" ref="R52:R57" si="15">P52-Q52</f>
        <v>0</v>
      </c>
      <c r="S52" s="33"/>
    </row>
    <row r="53" spans="1:19" x14ac:dyDescent="0.25">
      <c r="A53">
        <f t="shared" si="2"/>
        <v>45</v>
      </c>
      <c r="B53" s="54"/>
      <c r="C53" s="106"/>
      <c r="D53" s="121"/>
      <c r="E53" s="121"/>
      <c r="F53" s="121"/>
      <c r="G53" s="122"/>
      <c r="H53" s="73"/>
      <c r="I53" s="55"/>
      <c r="J53" s="36"/>
      <c r="K53" s="36"/>
      <c r="L53" s="33"/>
      <c r="M53" s="33" t="s">
        <v>31</v>
      </c>
      <c r="N53" s="33" t="s">
        <v>40</v>
      </c>
      <c r="O53" s="67">
        <v>1</v>
      </c>
      <c r="P53" s="59">
        <f t="shared" si="14"/>
        <v>0</v>
      </c>
      <c r="Q53" s="60">
        <v>0</v>
      </c>
      <c r="R53" s="59">
        <f t="shared" si="15"/>
        <v>0</v>
      </c>
      <c r="S53" s="33"/>
    </row>
    <row r="54" spans="1:19" x14ac:dyDescent="0.25">
      <c r="A54">
        <f t="shared" si="2"/>
        <v>46</v>
      </c>
      <c r="B54" s="54"/>
      <c r="C54" s="106"/>
      <c r="D54" s="121"/>
      <c r="E54" s="121"/>
      <c r="F54" s="121"/>
      <c r="G54" s="122"/>
      <c r="H54" s="73"/>
      <c r="I54" s="55"/>
      <c r="J54" s="36"/>
      <c r="K54" s="36"/>
      <c r="L54" s="33"/>
      <c r="M54" s="33" t="s">
        <v>31</v>
      </c>
      <c r="N54" s="33" t="s">
        <v>40</v>
      </c>
      <c r="O54" s="67">
        <v>1</v>
      </c>
      <c r="P54" s="59">
        <f t="shared" si="14"/>
        <v>0</v>
      </c>
      <c r="Q54" s="60">
        <v>0</v>
      </c>
      <c r="R54" s="59">
        <f t="shared" si="15"/>
        <v>0</v>
      </c>
      <c r="S54" s="33"/>
    </row>
    <row r="55" spans="1:19" x14ac:dyDescent="0.25">
      <c r="A55">
        <f t="shared" si="2"/>
        <v>47</v>
      </c>
      <c r="B55" s="53"/>
      <c r="C55" s="106"/>
      <c r="D55" s="121"/>
      <c r="E55" s="121"/>
      <c r="F55" s="121"/>
      <c r="G55" s="122"/>
      <c r="H55" s="73"/>
      <c r="I55" s="55"/>
      <c r="J55" s="36"/>
      <c r="K55" s="36"/>
      <c r="L55" s="33"/>
      <c r="M55" s="33" t="s">
        <v>31</v>
      </c>
      <c r="N55" s="33" t="s">
        <v>40</v>
      </c>
      <c r="O55" s="64">
        <v>1</v>
      </c>
      <c r="P55" s="57">
        <f t="shared" si="14"/>
        <v>0</v>
      </c>
      <c r="Q55" s="60">
        <v>0</v>
      </c>
      <c r="R55" s="58">
        <f t="shared" si="15"/>
        <v>0</v>
      </c>
      <c r="S55" s="33"/>
    </row>
    <row r="56" spans="1:19" x14ac:dyDescent="0.25">
      <c r="A56">
        <f t="shared" si="2"/>
        <v>48</v>
      </c>
      <c r="B56" s="84"/>
      <c r="C56" s="106"/>
      <c r="D56" s="121"/>
      <c r="E56" s="121"/>
      <c r="F56" s="121"/>
      <c r="G56" s="122"/>
      <c r="H56" s="73"/>
      <c r="I56" s="55"/>
      <c r="J56" s="36"/>
      <c r="K56" s="36"/>
      <c r="L56" s="33"/>
      <c r="M56" s="33" t="s">
        <v>31</v>
      </c>
      <c r="N56" s="33" t="s">
        <v>40</v>
      </c>
      <c r="O56" s="64">
        <v>1</v>
      </c>
      <c r="P56" s="57">
        <f t="shared" si="14"/>
        <v>0</v>
      </c>
      <c r="Q56" s="60">
        <v>0</v>
      </c>
      <c r="R56" s="58">
        <f t="shared" si="15"/>
        <v>0</v>
      </c>
      <c r="S56" s="33"/>
    </row>
    <row r="57" spans="1:19" x14ac:dyDescent="0.25">
      <c r="A57">
        <f t="shared" si="2"/>
        <v>49</v>
      </c>
      <c r="B57" s="54"/>
      <c r="C57" s="106"/>
      <c r="D57" s="121"/>
      <c r="E57" s="121"/>
      <c r="F57" s="121"/>
      <c r="G57" s="122"/>
      <c r="H57" s="73"/>
      <c r="I57" s="55"/>
      <c r="J57" s="36"/>
      <c r="K57" s="36"/>
      <c r="L57" s="33"/>
      <c r="M57" s="33" t="s">
        <v>31</v>
      </c>
      <c r="N57" s="33" t="s">
        <v>40</v>
      </c>
      <c r="O57" s="67">
        <v>1</v>
      </c>
      <c r="P57" s="59">
        <f t="shared" si="14"/>
        <v>0</v>
      </c>
      <c r="Q57" s="60">
        <v>0</v>
      </c>
      <c r="R57" s="59">
        <f t="shared" si="15"/>
        <v>0</v>
      </c>
      <c r="S57" s="33"/>
    </row>
    <row r="58" spans="1:19" x14ac:dyDescent="0.25">
      <c r="A58">
        <f t="shared" si="2"/>
        <v>50</v>
      </c>
      <c r="B58" s="84"/>
      <c r="C58" s="106"/>
      <c r="D58" s="121"/>
      <c r="E58" s="121"/>
      <c r="F58" s="121"/>
      <c r="G58" s="122"/>
      <c r="H58" s="73"/>
      <c r="I58" s="55"/>
      <c r="J58" s="36"/>
      <c r="K58" s="36"/>
      <c r="L58" s="33"/>
      <c r="M58" s="33" t="s">
        <v>31</v>
      </c>
      <c r="N58" s="33" t="s">
        <v>40</v>
      </c>
      <c r="O58" s="64">
        <v>1</v>
      </c>
      <c r="P58" s="57">
        <f t="shared" si="11"/>
        <v>0</v>
      </c>
      <c r="Q58" s="60">
        <v>0</v>
      </c>
      <c r="R58" s="58">
        <f t="shared" si="12"/>
        <v>0</v>
      </c>
      <c r="S58" s="33"/>
    </row>
    <row r="59" spans="1:19" x14ac:dyDescent="0.25">
      <c r="A59">
        <f t="shared" si="2"/>
        <v>51</v>
      </c>
      <c r="B59" s="84"/>
      <c r="C59" s="106"/>
      <c r="D59" s="121"/>
      <c r="E59" s="121"/>
      <c r="F59" s="121"/>
      <c r="G59" s="122"/>
      <c r="H59" s="73"/>
      <c r="I59" s="55"/>
      <c r="J59" s="36"/>
      <c r="K59" s="36"/>
      <c r="L59" s="33"/>
      <c r="M59" s="33" t="s">
        <v>31</v>
      </c>
      <c r="N59" s="33" t="s">
        <v>40</v>
      </c>
      <c r="O59" s="66">
        <v>1</v>
      </c>
      <c r="P59" s="57">
        <f t="shared" si="11"/>
        <v>0</v>
      </c>
      <c r="Q59" s="60">
        <v>0</v>
      </c>
      <c r="R59" s="58">
        <f t="shared" si="12"/>
        <v>0</v>
      </c>
      <c r="S59" s="33"/>
    </row>
    <row r="60" spans="1:19" x14ac:dyDescent="0.25">
      <c r="A60">
        <f t="shared" si="2"/>
        <v>52</v>
      </c>
      <c r="B60" s="84"/>
      <c r="C60" s="106"/>
      <c r="D60" s="121"/>
      <c r="E60" s="121"/>
      <c r="F60" s="121"/>
      <c r="G60" s="122"/>
      <c r="H60" s="73"/>
      <c r="I60" s="55"/>
      <c r="J60" s="36"/>
      <c r="K60" s="36"/>
      <c r="L60" s="33"/>
      <c r="M60" s="33" t="s">
        <v>31</v>
      </c>
      <c r="N60" s="33" t="s">
        <v>40</v>
      </c>
      <c r="O60" s="66">
        <v>1</v>
      </c>
      <c r="P60" s="57">
        <f t="shared" si="11"/>
        <v>0</v>
      </c>
      <c r="Q60" s="60">
        <v>0</v>
      </c>
      <c r="R60" s="58">
        <f t="shared" si="12"/>
        <v>0</v>
      </c>
      <c r="S60" s="33"/>
    </row>
    <row r="61" spans="1:19" x14ac:dyDescent="0.25">
      <c r="A61">
        <f t="shared" si="2"/>
        <v>53</v>
      </c>
      <c r="B61" s="53"/>
      <c r="C61" s="106"/>
      <c r="D61" s="121"/>
      <c r="E61" s="121"/>
      <c r="F61" s="121"/>
      <c r="G61" s="122"/>
      <c r="H61" s="73"/>
      <c r="I61" s="55"/>
      <c r="J61" s="36"/>
      <c r="K61" s="36"/>
      <c r="L61" s="33"/>
      <c r="M61" s="33" t="s">
        <v>31</v>
      </c>
      <c r="N61" s="33" t="s">
        <v>40</v>
      </c>
      <c r="O61" s="65">
        <v>1</v>
      </c>
      <c r="P61" s="59">
        <f t="shared" si="11"/>
        <v>0</v>
      </c>
      <c r="Q61" s="60">
        <v>0</v>
      </c>
      <c r="R61" s="59">
        <f t="shared" si="12"/>
        <v>0</v>
      </c>
      <c r="S61" s="33"/>
    </row>
    <row r="62" spans="1:19" x14ac:dyDescent="0.25">
      <c r="A62">
        <f t="shared" si="2"/>
        <v>54</v>
      </c>
      <c r="B62" s="54"/>
      <c r="C62" s="106"/>
      <c r="D62" s="121"/>
      <c r="E62" s="121"/>
      <c r="F62" s="121"/>
      <c r="G62" s="122"/>
      <c r="H62" s="73"/>
      <c r="I62" s="55"/>
      <c r="J62" s="36"/>
      <c r="K62" s="36"/>
      <c r="L62" s="33"/>
      <c r="M62" s="33" t="s">
        <v>31</v>
      </c>
      <c r="N62" s="33" t="s">
        <v>40</v>
      </c>
      <c r="O62" s="67">
        <v>1</v>
      </c>
      <c r="P62" s="59">
        <f t="shared" si="11"/>
        <v>0</v>
      </c>
      <c r="Q62" s="60">
        <v>0</v>
      </c>
      <c r="R62" s="59">
        <f t="shared" si="12"/>
        <v>0</v>
      </c>
      <c r="S62" s="33"/>
    </row>
    <row r="63" spans="1:19" x14ac:dyDescent="0.25">
      <c r="A63">
        <f t="shared" si="2"/>
        <v>55</v>
      </c>
      <c r="B63" s="54"/>
      <c r="C63" s="106"/>
      <c r="D63" s="121"/>
      <c r="E63" s="121"/>
      <c r="F63" s="121"/>
      <c r="G63" s="122"/>
      <c r="H63" s="73"/>
      <c r="I63" s="55"/>
      <c r="J63" s="36"/>
      <c r="K63" s="36"/>
      <c r="L63" s="33"/>
      <c r="M63" s="33" t="s">
        <v>31</v>
      </c>
      <c r="N63" s="33" t="s">
        <v>40</v>
      </c>
      <c r="O63" s="67">
        <v>1</v>
      </c>
      <c r="P63" s="59">
        <f t="shared" si="11"/>
        <v>0</v>
      </c>
      <c r="Q63" s="60">
        <f t="shared" ref="Q63" si="16">P63/1.13*0.13</f>
        <v>0</v>
      </c>
      <c r="R63" s="59">
        <f t="shared" si="12"/>
        <v>0</v>
      </c>
      <c r="S63" s="33"/>
    </row>
    <row r="64" spans="1:19" x14ac:dyDescent="0.25">
      <c r="A64">
        <f t="shared" si="2"/>
        <v>56</v>
      </c>
      <c r="B64" s="54"/>
      <c r="C64" s="106"/>
      <c r="D64" s="121"/>
      <c r="E64" s="121"/>
      <c r="F64" s="121"/>
      <c r="G64" s="122"/>
      <c r="H64" s="73"/>
      <c r="I64" s="55"/>
      <c r="J64" s="36"/>
      <c r="K64" s="36"/>
      <c r="L64" s="33"/>
      <c r="M64" s="33" t="s">
        <v>31</v>
      </c>
      <c r="N64" s="33" t="s">
        <v>40</v>
      </c>
      <c r="O64" s="67">
        <v>1</v>
      </c>
      <c r="P64" s="59">
        <f t="shared" si="11"/>
        <v>0</v>
      </c>
      <c r="Q64" s="60">
        <v>0</v>
      </c>
      <c r="R64" s="59">
        <f t="shared" si="12"/>
        <v>0</v>
      </c>
      <c r="S64" s="33"/>
    </row>
    <row r="65" spans="1:19" x14ac:dyDescent="0.25">
      <c r="A65">
        <f t="shared" si="2"/>
        <v>57</v>
      </c>
      <c r="B65" s="53"/>
      <c r="C65" s="106"/>
      <c r="D65" s="121"/>
      <c r="E65" s="121"/>
      <c r="F65" s="121"/>
      <c r="G65" s="122"/>
      <c r="H65" s="73"/>
      <c r="I65" s="55"/>
      <c r="J65" s="36"/>
      <c r="K65" s="36"/>
      <c r="L65" s="33"/>
      <c r="M65" s="33" t="s">
        <v>31</v>
      </c>
      <c r="N65" s="33" t="s">
        <v>40</v>
      </c>
      <c r="O65" s="64">
        <v>1</v>
      </c>
      <c r="P65" s="57">
        <f t="shared" si="11"/>
        <v>0</v>
      </c>
      <c r="Q65" s="60">
        <v>0</v>
      </c>
      <c r="R65" s="58">
        <f t="shared" si="12"/>
        <v>0</v>
      </c>
      <c r="S65" s="33"/>
    </row>
    <row r="66" spans="1:19" x14ac:dyDescent="0.25">
      <c r="A66">
        <f t="shared" si="2"/>
        <v>58</v>
      </c>
      <c r="B66" s="54"/>
      <c r="C66" s="106"/>
      <c r="D66" s="121"/>
      <c r="E66" s="121"/>
      <c r="F66" s="121"/>
      <c r="G66" s="122"/>
      <c r="H66" s="73"/>
      <c r="I66" s="55"/>
      <c r="J66" s="36"/>
      <c r="K66" s="36"/>
      <c r="L66" s="33"/>
      <c r="M66" s="33" t="s">
        <v>31</v>
      </c>
      <c r="N66" s="33" t="s">
        <v>40</v>
      </c>
      <c r="O66" s="67">
        <v>1</v>
      </c>
      <c r="P66" s="59">
        <f t="shared" si="11"/>
        <v>0</v>
      </c>
      <c r="Q66" s="60">
        <v>0</v>
      </c>
      <c r="R66" s="59">
        <f t="shared" si="12"/>
        <v>0</v>
      </c>
      <c r="S66" s="33"/>
    </row>
    <row r="67" spans="1:19" x14ac:dyDescent="0.25">
      <c r="A67">
        <f t="shared" si="2"/>
        <v>59</v>
      </c>
      <c r="B67" s="54"/>
      <c r="C67" s="106"/>
      <c r="D67" s="121"/>
      <c r="E67" s="121"/>
      <c r="F67" s="121"/>
      <c r="G67" s="122"/>
      <c r="H67" s="73"/>
      <c r="I67" s="55"/>
      <c r="J67" s="36"/>
      <c r="K67" s="36"/>
      <c r="L67" s="33"/>
      <c r="M67" s="33" t="s">
        <v>31</v>
      </c>
      <c r="N67" s="33" t="s">
        <v>40</v>
      </c>
      <c r="O67" s="67">
        <v>1</v>
      </c>
      <c r="P67" s="59">
        <f t="shared" si="11"/>
        <v>0</v>
      </c>
      <c r="Q67" s="60">
        <v>0</v>
      </c>
      <c r="R67" s="59">
        <f t="shared" si="12"/>
        <v>0</v>
      </c>
      <c r="S67" s="33"/>
    </row>
    <row r="68" spans="1:19" x14ac:dyDescent="0.25">
      <c r="A68">
        <f t="shared" si="2"/>
        <v>60</v>
      </c>
      <c r="B68" s="53"/>
      <c r="C68" s="106"/>
      <c r="D68" s="121"/>
      <c r="E68" s="121"/>
      <c r="F68" s="121"/>
      <c r="G68" s="122"/>
      <c r="H68" s="73"/>
      <c r="I68" s="55"/>
      <c r="J68" s="36"/>
      <c r="K68" s="36"/>
      <c r="L68" s="33"/>
      <c r="M68" s="33" t="s">
        <v>31</v>
      </c>
      <c r="N68" s="33" t="s">
        <v>40</v>
      </c>
      <c r="O68" s="64">
        <v>1</v>
      </c>
      <c r="P68" s="57">
        <f t="shared" si="11"/>
        <v>0</v>
      </c>
      <c r="Q68" s="60">
        <v>0</v>
      </c>
      <c r="R68" s="58">
        <f t="shared" si="12"/>
        <v>0</v>
      </c>
      <c r="S68" s="33"/>
    </row>
    <row r="69" spans="1:19" x14ac:dyDescent="0.25">
      <c r="A69">
        <f t="shared" si="2"/>
        <v>61</v>
      </c>
      <c r="B69" s="84"/>
      <c r="C69" s="106"/>
      <c r="D69" s="121"/>
      <c r="E69" s="121"/>
      <c r="F69" s="121"/>
      <c r="G69" s="122"/>
      <c r="H69" s="73"/>
      <c r="I69" s="55"/>
      <c r="J69" s="36"/>
      <c r="K69" s="36"/>
      <c r="L69" s="33"/>
      <c r="M69" s="33" t="s">
        <v>31</v>
      </c>
      <c r="N69" s="33" t="s">
        <v>40</v>
      </c>
      <c r="O69" s="64">
        <v>1</v>
      </c>
      <c r="P69" s="57">
        <f t="shared" si="11"/>
        <v>0</v>
      </c>
      <c r="Q69" s="60">
        <v>0</v>
      </c>
      <c r="R69" s="58">
        <f t="shared" si="12"/>
        <v>0</v>
      </c>
      <c r="S69" s="33"/>
    </row>
    <row r="70" spans="1:19" x14ac:dyDescent="0.25">
      <c r="A70">
        <f t="shared" si="2"/>
        <v>62</v>
      </c>
      <c r="B70" s="54"/>
      <c r="C70" s="106"/>
      <c r="D70" s="121"/>
      <c r="E70" s="121"/>
      <c r="F70" s="121"/>
      <c r="G70" s="122"/>
      <c r="H70" s="73"/>
      <c r="I70" s="55"/>
      <c r="J70" s="36"/>
      <c r="K70" s="36"/>
      <c r="L70" s="33"/>
      <c r="M70" s="33" t="s">
        <v>31</v>
      </c>
      <c r="N70" s="33" t="s">
        <v>40</v>
      </c>
      <c r="O70" s="67">
        <v>1</v>
      </c>
      <c r="P70" s="59">
        <f t="shared" si="11"/>
        <v>0</v>
      </c>
      <c r="Q70" s="60">
        <v>0</v>
      </c>
      <c r="R70" s="59">
        <f t="shared" si="12"/>
        <v>0</v>
      </c>
      <c r="S70" s="33"/>
    </row>
    <row r="71" spans="1:19" x14ac:dyDescent="0.25">
      <c r="A71">
        <f t="shared" si="2"/>
        <v>63</v>
      </c>
      <c r="B71" s="84"/>
      <c r="C71" s="106"/>
      <c r="D71" s="121"/>
      <c r="E71" s="121"/>
      <c r="F71" s="121"/>
      <c r="G71" s="122"/>
      <c r="H71" s="73"/>
      <c r="I71" s="55"/>
      <c r="J71" s="36"/>
      <c r="K71" s="36"/>
      <c r="L71" s="33"/>
      <c r="M71" s="33" t="s">
        <v>31</v>
      </c>
      <c r="N71" s="33" t="s">
        <v>40</v>
      </c>
      <c r="O71" s="64">
        <v>1</v>
      </c>
      <c r="P71" s="57">
        <f t="shared" ref="P71:P75" si="17">I71+L71*L$8</f>
        <v>0</v>
      </c>
      <c r="Q71" s="60">
        <v>0</v>
      </c>
      <c r="R71" s="58">
        <f t="shared" si="12"/>
        <v>0</v>
      </c>
      <c r="S71" s="33"/>
    </row>
    <row r="72" spans="1:19" x14ac:dyDescent="0.25">
      <c r="A72">
        <f t="shared" si="2"/>
        <v>64</v>
      </c>
      <c r="B72" s="84"/>
      <c r="C72" s="106"/>
      <c r="D72" s="121"/>
      <c r="E72" s="121"/>
      <c r="F72" s="121"/>
      <c r="G72" s="122"/>
      <c r="H72" s="73"/>
      <c r="I72" s="55"/>
      <c r="J72" s="36"/>
      <c r="K72" s="36"/>
      <c r="L72" s="33"/>
      <c r="M72" s="33" t="s">
        <v>31</v>
      </c>
      <c r="N72" s="33" t="s">
        <v>40</v>
      </c>
      <c r="O72" s="66">
        <v>1</v>
      </c>
      <c r="P72" s="57">
        <f t="shared" si="17"/>
        <v>0</v>
      </c>
      <c r="Q72" s="60">
        <v>0</v>
      </c>
      <c r="R72" s="58">
        <f t="shared" si="12"/>
        <v>0</v>
      </c>
      <c r="S72" s="33"/>
    </row>
    <row r="73" spans="1:19" x14ac:dyDescent="0.25">
      <c r="A73">
        <f t="shared" si="2"/>
        <v>65</v>
      </c>
      <c r="B73" s="84"/>
      <c r="C73" s="106"/>
      <c r="D73" s="121"/>
      <c r="E73" s="121"/>
      <c r="F73" s="121"/>
      <c r="G73" s="122"/>
      <c r="H73" s="73"/>
      <c r="I73" s="55"/>
      <c r="J73" s="36"/>
      <c r="K73" s="36"/>
      <c r="L73" s="33"/>
      <c r="M73" s="33" t="s">
        <v>31</v>
      </c>
      <c r="N73" s="33" t="s">
        <v>40</v>
      </c>
      <c r="O73" s="66">
        <v>1</v>
      </c>
      <c r="P73" s="57">
        <f t="shared" si="17"/>
        <v>0</v>
      </c>
      <c r="Q73" s="60">
        <v>0</v>
      </c>
      <c r="R73" s="58">
        <f t="shared" si="12"/>
        <v>0</v>
      </c>
      <c r="S73" s="33"/>
    </row>
    <row r="74" spans="1:19" x14ac:dyDescent="0.25">
      <c r="A74">
        <f t="shared" si="2"/>
        <v>66</v>
      </c>
      <c r="B74" s="53"/>
      <c r="C74" s="106"/>
      <c r="D74" s="121"/>
      <c r="E74" s="121"/>
      <c r="F74" s="121"/>
      <c r="G74" s="122"/>
      <c r="H74" s="73"/>
      <c r="I74" s="55"/>
      <c r="J74" s="36"/>
      <c r="K74" s="36"/>
      <c r="L74" s="33"/>
      <c r="M74" s="33" t="s">
        <v>31</v>
      </c>
      <c r="N74" s="33" t="s">
        <v>40</v>
      </c>
      <c r="O74" s="65">
        <v>1</v>
      </c>
      <c r="P74" s="59">
        <f t="shared" si="17"/>
        <v>0</v>
      </c>
      <c r="Q74" s="60">
        <v>0</v>
      </c>
      <c r="R74" s="59">
        <f t="shared" ref="R74:R75" si="18">P74-Q74</f>
        <v>0</v>
      </c>
      <c r="S74" s="33"/>
    </row>
    <row r="75" spans="1:19" x14ac:dyDescent="0.25">
      <c r="A75">
        <f t="shared" ref="A75:A79" si="19">A74+1</f>
        <v>67</v>
      </c>
      <c r="B75" s="54"/>
      <c r="C75" s="106"/>
      <c r="D75" s="121"/>
      <c r="E75" s="121"/>
      <c r="F75" s="121"/>
      <c r="G75" s="122"/>
      <c r="H75" s="73"/>
      <c r="I75" s="55"/>
      <c r="J75" s="36"/>
      <c r="K75" s="36"/>
      <c r="L75" s="33"/>
      <c r="M75" s="33" t="s">
        <v>31</v>
      </c>
      <c r="N75" s="33" t="s">
        <v>40</v>
      </c>
      <c r="O75" s="67">
        <v>1</v>
      </c>
      <c r="P75" s="59">
        <f t="shared" si="17"/>
        <v>0</v>
      </c>
      <c r="Q75" s="60">
        <v>0</v>
      </c>
      <c r="R75" s="59">
        <f t="shared" si="18"/>
        <v>0</v>
      </c>
      <c r="S75" s="33"/>
    </row>
    <row r="76" spans="1:19" x14ac:dyDescent="0.25">
      <c r="A76">
        <f t="shared" si="19"/>
        <v>68</v>
      </c>
      <c r="B76" s="54"/>
      <c r="C76" s="106"/>
      <c r="D76" s="121"/>
      <c r="E76" s="121"/>
      <c r="F76" s="121"/>
      <c r="G76" s="122"/>
      <c r="H76" s="73"/>
      <c r="I76" s="55"/>
      <c r="J76" s="36"/>
      <c r="K76" s="36"/>
      <c r="L76" s="33"/>
      <c r="M76" s="33" t="s">
        <v>31</v>
      </c>
      <c r="N76" s="33" t="s">
        <v>40</v>
      </c>
      <c r="O76" s="67">
        <v>1</v>
      </c>
      <c r="P76" s="59">
        <f t="shared" si="11"/>
        <v>0</v>
      </c>
      <c r="Q76" s="60">
        <f t="shared" ref="Q76" si="20">P76/1.13*0.13</f>
        <v>0</v>
      </c>
      <c r="R76" s="59">
        <f t="shared" si="12"/>
        <v>0</v>
      </c>
      <c r="S76" s="33"/>
    </row>
    <row r="77" spans="1:19" x14ac:dyDescent="0.25">
      <c r="A77">
        <f t="shared" si="19"/>
        <v>69</v>
      </c>
      <c r="B77" s="54"/>
      <c r="C77" s="106"/>
      <c r="D77" s="121"/>
      <c r="E77" s="121"/>
      <c r="F77" s="121"/>
      <c r="G77" s="122"/>
      <c r="H77" s="73"/>
      <c r="I77" s="55"/>
      <c r="J77" s="36"/>
      <c r="K77" s="36"/>
      <c r="L77" s="33"/>
      <c r="M77" s="33" t="s">
        <v>31</v>
      </c>
      <c r="N77" s="33" t="s">
        <v>40</v>
      </c>
      <c r="O77" s="67">
        <v>1</v>
      </c>
      <c r="P77" s="59">
        <f t="shared" si="5"/>
        <v>0</v>
      </c>
      <c r="Q77" s="60">
        <f>P77/1.13*0.13</f>
        <v>0</v>
      </c>
      <c r="R77" s="59">
        <f t="shared" si="6"/>
        <v>0</v>
      </c>
      <c r="S77" s="33"/>
    </row>
    <row r="78" spans="1:19" x14ac:dyDescent="0.25">
      <c r="A78">
        <f t="shared" si="19"/>
        <v>70</v>
      </c>
      <c r="B78" s="53"/>
      <c r="C78" s="106"/>
      <c r="D78" s="121"/>
      <c r="E78" s="121"/>
      <c r="F78" s="121"/>
      <c r="G78" s="122"/>
      <c r="H78" s="73"/>
      <c r="I78" s="55"/>
      <c r="J78" s="36"/>
      <c r="K78" s="36"/>
      <c r="L78" s="33"/>
      <c r="M78" s="33" t="s">
        <v>31</v>
      </c>
      <c r="N78" s="33" t="s">
        <v>40</v>
      </c>
      <c r="O78" s="67">
        <v>1</v>
      </c>
      <c r="P78" s="59">
        <f t="shared" si="5"/>
        <v>0</v>
      </c>
      <c r="Q78" s="60">
        <f>P78/1.13*0.13</f>
        <v>0</v>
      </c>
      <c r="R78" s="59">
        <f t="shared" si="6"/>
        <v>0</v>
      </c>
      <c r="S78" s="33"/>
    </row>
    <row r="79" spans="1:19" x14ac:dyDescent="0.25">
      <c r="A79">
        <f t="shared" si="19"/>
        <v>71</v>
      </c>
      <c r="B79" s="53"/>
      <c r="C79" s="106"/>
      <c r="D79" s="121"/>
      <c r="E79" s="121"/>
      <c r="F79" s="121"/>
      <c r="G79" s="122"/>
      <c r="H79" s="73"/>
      <c r="I79" s="55"/>
      <c r="J79" s="36"/>
      <c r="K79" s="36"/>
      <c r="L79" s="33"/>
      <c r="M79" s="33" t="s">
        <v>31</v>
      </c>
      <c r="N79" s="33" t="s">
        <v>40</v>
      </c>
      <c r="O79" s="67">
        <v>1</v>
      </c>
      <c r="P79" s="59">
        <f t="shared" si="5"/>
        <v>0</v>
      </c>
      <c r="Q79" s="60">
        <f>P79/1.13*0.13</f>
        <v>0</v>
      </c>
      <c r="R79" s="59">
        <f t="shared" si="6"/>
        <v>0</v>
      </c>
      <c r="S79" s="33"/>
    </row>
    <row r="80" spans="1:19" ht="15.75" x14ac:dyDescent="0.25">
      <c r="B80" s="68" t="s">
        <v>57</v>
      </c>
      <c r="C80" s="106"/>
      <c r="D80" s="121"/>
      <c r="E80" s="121"/>
      <c r="F80" s="121"/>
      <c r="G80" s="122"/>
      <c r="H80" s="74"/>
      <c r="I80" s="69"/>
      <c r="J80" s="33"/>
      <c r="K80" s="35" t="s">
        <v>9</v>
      </c>
      <c r="L80" s="33">
        <f>SUM(L8:L12)</f>
        <v>0.55000000000000004</v>
      </c>
      <c r="M80" s="33">
        <f>SUM(L80)</f>
        <v>0.55000000000000004</v>
      </c>
      <c r="N80" s="33"/>
      <c r="O80" s="67"/>
      <c r="P80" s="70">
        <f>SUM(P9:P79)</f>
        <v>0</v>
      </c>
      <c r="Q80" s="62">
        <f>SUM(Q9:Q79)</f>
        <v>0</v>
      </c>
      <c r="R80" s="63">
        <f t="shared" si="6"/>
        <v>0</v>
      </c>
      <c r="S80" s="33"/>
    </row>
    <row r="81" spans="2:19" ht="15.75" thickBot="1" x14ac:dyDescent="0.3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2:19" ht="15.75" thickTop="1" x14ac:dyDescent="0.25">
      <c r="B82" s="31" t="s">
        <v>17</v>
      </c>
      <c r="C82" s="47"/>
      <c r="M82" s="8"/>
      <c r="N82" s="8"/>
      <c r="O82" s="8"/>
      <c r="P82" s="8"/>
      <c r="Q82" s="8"/>
    </row>
    <row r="83" spans="2:19" x14ac:dyDescent="0.25">
      <c r="M83" s="120" t="s">
        <v>44</v>
      </c>
      <c r="N83" s="120"/>
      <c r="O83" s="77">
        <f>P80</f>
        <v>0</v>
      </c>
      <c r="P83" s="9"/>
      <c r="Q83" s="9"/>
      <c r="R83" s="9"/>
      <c r="S83" s="9"/>
    </row>
    <row r="84" spans="2:19" x14ac:dyDescent="0.25">
      <c r="M84" s="10"/>
      <c r="N84" s="10"/>
      <c r="O84" s="10"/>
      <c r="P84" s="10"/>
      <c r="Q84" s="10"/>
      <c r="R84" s="10"/>
      <c r="S84" s="10"/>
    </row>
    <row r="85" spans="2:19" x14ac:dyDescent="0.25">
      <c r="M85" s="10"/>
      <c r="N85" s="10"/>
      <c r="O85" s="10"/>
      <c r="P85" s="10"/>
      <c r="Q85" s="10"/>
      <c r="R85" s="10"/>
      <c r="S85" s="10"/>
    </row>
    <row r="86" spans="2:19" ht="15.75" x14ac:dyDescent="0.25">
      <c r="C86" s="34" t="s">
        <v>18</v>
      </c>
      <c r="D86" s="12"/>
      <c r="E86" s="12"/>
      <c r="F86" s="34" t="s">
        <v>19</v>
      </c>
      <c r="H86" s="12"/>
      <c r="I86" s="12"/>
      <c r="J86" s="12"/>
      <c r="K86" s="10"/>
      <c r="L86" s="10"/>
    </row>
    <row r="87" spans="2:19" ht="15.75" x14ac:dyDescent="0.25">
      <c r="C87" s="13" t="s">
        <v>20</v>
      </c>
      <c r="D87" s="13"/>
      <c r="E87" s="13"/>
      <c r="F87" s="13" t="s">
        <v>20</v>
      </c>
      <c r="G87" s="13"/>
      <c r="H87" s="13"/>
      <c r="I87" s="13"/>
      <c r="J87" s="13"/>
      <c r="K87" s="14"/>
      <c r="L87" s="14"/>
      <c r="N87" s="13"/>
      <c r="O87" s="13"/>
    </row>
    <row r="88" spans="2:19" ht="15.75" x14ac:dyDescent="0.25"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4"/>
      <c r="M88" s="13"/>
      <c r="N88" s="13"/>
      <c r="O88" s="13"/>
    </row>
    <row r="89" spans="2:19" ht="15.75" x14ac:dyDescent="0.25">
      <c r="C89" s="34" t="s">
        <v>21</v>
      </c>
      <c r="D89" s="12"/>
      <c r="E89" s="12"/>
      <c r="F89" s="34" t="s">
        <v>21</v>
      </c>
      <c r="H89" s="12"/>
      <c r="I89" s="12"/>
      <c r="J89" s="12"/>
      <c r="M89" s="15"/>
      <c r="P89" s="9"/>
    </row>
    <row r="90" spans="2:19" ht="15.75" x14ac:dyDescent="0.25">
      <c r="B90" s="34"/>
      <c r="C90" s="34"/>
      <c r="D90" s="7"/>
      <c r="E90" s="7"/>
      <c r="F90" s="34"/>
      <c r="Q90" s="15" t="s">
        <v>37</v>
      </c>
    </row>
    <row r="91" spans="2:19" ht="15.75" x14ac:dyDescent="0.25">
      <c r="B91" s="11"/>
      <c r="C91" s="11"/>
      <c r="D91" s="12"/>
      <c r="E91" s="12"/>
      <c r="F91" s="11"/>
      <c r="G91" s="12"/>
      <c r="Q91" s="15"/>
    </row>
    <row r="92" spans="2:19" x14ac:dyDescent="0.25">
      <c r="B92" s="16" t="s">
        <v>14</v>
      </c>
      <c r="C92" s="48"/>
      <c r="D92" s="26" t="s">
        <v>22</v>
      </c>
      <c r="E92" s="27" t="s">
        <v>23</v>
      </c>
      <c r="F92" s="28" t="s">
        <v>35</v>
      </c>
      <c r="G92" s="27" t="s">
        <v>2</v>
      </c>
      <c r="H92" s="29" t="s">
        <v>24</v>
      </c>
      <c r="I92" s="30" t="s">
        <v>12</v>
      </c>
    </row>
    <row r="93" spans="2:19" ht="15.75" x14ac:dyDescent="0.25">
      <c r="B93" s="44" t="s">
        <v>46</v>
      </c>
      <c r="C93" s="50">
        <v>62005</v>
      </c>
      <c r="D93" s="17">
        <f t="shared" ref="D93:G96" si="21">SUMIFS($R$9:$R$80,$J$9:$J$80,$B93,$K$9:$K$80,D$92)</f>
        <v>0</v>
      </c>
      <c r="E93" s="17">
        <f t="shared" si="21"/>
        <v>0</v>
      </c>
      <c r="F93" s="17">
        <f t="shared" si="21"/>
        <v>0</v>
      </c>
      <c r="G93" s="17">
        <f t="shared" si="21"/>
        <v>0</v>
      </c>
      <c r="H93" s="18">
        <f t="shared" ref="H93:H111" si="22">SUM(D93:G93)</f>
        <v>0</v>
      </c>
      <c r="I93" s="19">
        <f>SUMIF(J$9:J$80,B93,Q$9:Q$80)</f>
        <v>0</v>
      </c>
    </row>
    <row r="94" spans="2:19" ht="15.75" x14ac:dyDescent="0.25">
      <c r="B94" s="20" t="s">
        <v>29</v>
      </c>
      <c r="C94" s="51">
        <v>62001</v>
      </c>
      <c r="D94" s="17">
        <f t="shared" si="21"/>
        <v>0</v>
      </c>
      <c r="E94" s="17">
        <f t="shared" si="21"/>
        <v>0</v>
      </c>
      <c r="F94" s="17">
        <f t="shared" si="21"/>
        <v>0</v>
      </c>
      <c r="G94" s="17">
        <f t="shared" si="21"/>
        <v>0</v>
      </c>
      <c r="H94" s="18">
        <f t="shared" si="22"/>
        <v>0</v>
      </c>
      <c r="I94" s="18">
        <f>SUMIF(J$9:J$80,B94,Q$9:Q$80)</f>
        <v>0</v>
      </c>
    </row>
    <row r="95" spans="2:19" ht="15.75" x14ac:dyDescent="0.25">
      <c r="B95" s="20" t="s">
        <v>54</v>
      </c>
      <c r="C95" s="51">
        <v>62025</v>
      </c>
      <c r="D95" s="17">
        <f t="shared" si="21"/>
        <v>0</v>
      </c>
      <c r="E95" s="17">
        <f t="shared" si="21"/>
        <v>0</v>
      </c>
      <c r="F95" s="17">
        <f t="shared" si="21"/>
        <v>0</v>
      </c>
      <c r="G95" s="17">
        <f t="shared" si="21"/>
        <v>0</v>
      </c>
      <c r="H95" s="18">
        <f t="shared" si="22"/>
        <v>0</v>
      </c>
      <c r="I95" s="18">
        <f>SUMIF(J$9:J$80,B95,Q$9:Q$80)</f>
        <v>0</v>
      </c>
    </row>
    <row r="96" spans="2:19" ht="15.75" x14ac:dyDescent="0.25">
      <c r="B96" s="20" t="s">
        <v>9</v>
      </c>
      <c r="C96" s="51">
        <v>62001</v>
      </c>
      <c r="D96" s="17">
        <f t="shared" si="21"/>
        <v>0</v>
      </c>
      <c r="E96" s="17">
        <f t="shared" si="21"/>
        <v>0</v>
      </c>
      <c r="F96" s="17">
        <f t="shared" si="21"/>
        <v>0</v>
      </c>
      <c r="G96" s="17">
        <f t="shared" si="21"/>
        <v>0</v>
      </c>
      <c r="H96" s="18">
        <f t="shared" si="22"/>
        <v>0</v>
      </c>
      <c r="I96" s="18">
        <f>SUMIF(J$9:J$80,B96,Q$9:Q$80)</f>
        <v>0</v>
      </c>
    </row>
    <row r="97" spans="2:11" ht="15.75" x14ac:dyDescent="0.25">
      <c r="B97" s="20" t="s">
        <v>47</v>
      </c>
      <c r="C97" s="51">
        <v>62010</v>
      </c>
      <c r="D97" s="17">
        <f t="shared" ref="D97:F112" si="23">SUMIFS($R$9:$R$80,$J$9:$J$80,$B97,$K$9:$K$80,D$92)</f>
        <v>0</v>
      </c>
      <c r="E97" s="17">
        <f t="shared" si="23"/>
        <v>0</v>
      </c>
      <c r="F97" s="17">
        <f t="shared" si="23"/>
        <v>0</v>
      </c>
      <c r="G97" s="17">
        <f>SUMIFS($R$9:$R$80,$J$9:$J$80,$B97,$K$9:$K$80,G$92)+$I97</f>
        <v>0</v>
      </c>
      <c r="H97" s="18">
        <f t="shared" si="22"/>
        <v>0</v>
      </c>
      <c r="I97" s="18">
        <f>SUMIF(J$9:J$80,B97,Q$9:Q$80)/2</f>
        <v>0</v>
      </c>
      <c r="J97" s="45">
        <v>0.5</v>
      </c>
      <c r="K97" t="s">
        <v>58</v>
      </c>
    </row>
    <row r="98" spans="2:11" ht="15.75" x14ac:dyDescent="0.25">
      <c r="B98" s="20" t="s">
        <v>49</v>
      </c>
      <c r="C98" s="51">
        <v>62020</v>
      </c>
      <c r="D98" s="17">
        <f t="shared" si="23"/>
        <v>0</v>
      </c>
      <c r="E98" s="17">
        <f t="shared" si="23"/>
        <v>0</v>
      </c>
      <c r="F98" s="17">
        <f t="shared" si="23"/>
        <v>0</v>
      </c>
      <c r="G98" s="17">
        <f>SUMIFS($R$9:$R$80,$J$9:$J$80,$B98,$K$9:$K$80,G$92)+$I98</f>
        <v>0</v>
      </c>
      <c r="H98" s="18">
        <f t="shared" si="22"/>
        <v>0</v>
      </c>
      <c r="I98" s="18">
        <f>SUMIF(J$9:J$80,B98,Q$9:Q$80)/2</f>
        <v>0</v>
      </c>
      <c r="J98" s="45">
        <v>0.5</v>
      </c>
    </row>
    <row r="99" spans="2:11" ht="15.75" x14ac:dyDescent="0.25">
      <c r="B99" s="20" t="s">
        <v>48</v>
      </c>
      <c r="C99" s="51">
        <v>62011</v>
      </c>
      <c r="D99" s="17">
        <f t="shared" si="23"/>
        <v>0</v>
      </c>
      <c r="E99" s="17">
        <f t="shared" si="23"/>
        <v>0</v>
      </c>
      <c r="F99" s="17">
        <f t="shared" si="23"/>
        <v>0</v>
      </c>
      <c r="G99" s="17">
        <f>SUMIFS($R$9:$R$80,$J$9:$J$80,$B99,$K$9:$K$80,G$92)+$I99</f>
        <v>0</v>
      </c>
      <c r="H99" s="18">
        <f t="shared" si="22"/>
        <v>0</v>
      </c>
      <c r="I99" s="18">
        <f>SUMIF(J$9:J$80,B99,Q$9:Q$80)/2</f>
        <v>0</v>
      </c>
      <c r="J99" s="45">
        <v>0.5</v>
      </c>
    </row>
    <row r="100" spans="2:11" ht="15.75" x14ac:dyDescent="0.25">
      <c r="B100" s="20" t="s">
        <v>50</v>
      </c>
      <c r="C100" s="51">
        <v>62021</v>
      </c>
      <c r="D100" s="17">
        <f t="shared" si="23"/>
        <v>0</v>
      </c>
      <c r="E100" s="17">
        <f t="shared" si="23"/>
        <v>0</v>
      </c>
      <c r="F100" s="17">
        <f t="shared" si="23"/>
        <v>0</v>
      </c>
      <c r="G100" s="17">
        <f>SUMIFS($R$9:$R$80,$J$9:$J$80,$B100,$K$9:$K$80,G$92)+$I100</f>
        <v>0</v>
      </c>
      <c r="H100" s="18">
        <f t="shared" si="22"/>
        <v>0</v>
      </c>
      <c r="I100" s="18">
        <f>SUMIF(J$9:J$80,B100,Q$9:Q$80)/2</f>
        <v>0</v>
      </c>
      <c r="J100" s="45">
        <v>0.5</v>
      </c>
    </row>
    <row r="101" spans="2:11" ht="15.75" x14ac:dyDescent="0.25">
      <c r="B101" s="20" t="s">
        <v>60</v>
      </c>
      <c r="C101" s="51">
        <v>62112</v>
      </c>
      <c r="D101" s="17">
        <f t="shared" si="23"/>
        <v>0</v>
      </c>
      <c r="E101" s="17">
        <f t="shared" si="23"/>
        <v>0</v>
      </c>
      <c r="F101" s="17">
        <f t="shared" si="23"/>
        <v>0</v>
      </c>
      <c r="G101" s="17">
        <f t="shared" ref="G101:G112" si="24">SUMIFS($R$9:$R$80,$J$9:$J$80,$B101,$K$9:$K$80,G$92)</f>
        <v>0</v>
      </c>
      <c r="H101" s="18">
        <f t="shared" si="22"/>
        <v>0</v>
      </c>
      <c r="I101" s="18">
        <f t="shared" ref="I101:I112" si="25">SUMIF(J$9:J$80,B101,Q$9:Q$80)</f>
        <v>0</v>
      </c>
      <c r="J101" s="45"/>
    </row>
    <row r="102" spans="2:11" ht="15.75" x14ac:dyDescent="0.25">
      <c r="B102" s="20" t="s">
        <v>26</v>
      </c>
      <c r="C102" s="51">
        <v>62160</v>
      </c>
      <c r="D102" s="17">
        <f t="shared" si="23"/>
        <v>0</v>
      </c>
      <c r="E102" s="17">
        <f t="shared" si="23"/>
        <v>0</v>
      </c>
      <c r="F102" s="17">
        <f t="shared" si="23"/>
        <v>0</v>
      </c>
      <c r="G102" s="17">
        <f t="shared" si="24"/>
        <v>0</v>
      </c>
      <c r="H102" s="18">
        <f t="shared" si="22"/>
        <v>0</v>
      </c>
      <c r="I102" s="18">
        <f t="shared" si="25"/>
        <v>0</v>
      </c>
      <c r="J102" s="45"/>
    </row>
    <row r="103" spans="2:11" ht="15.75" x14ac:dyDescent="0.25">
      <c r="B103" s="20" t="s">
        <v>52</v>
      </c>
      <c r="C103" s="51">
        <v>62155</v>
      </c>
      <c r="D103" s="17">
        <f t="shared" si="23"/>
        <v>0</v>
      </c>
      <c r="E103" s="17">
        <f t="shared" si="23"/>
        <v>0</v>
      </c>
      <c r="F103" s="17">
        <f t="shared" si="23"/>
        <v>0</v>
      </c>
      <c r="G103" s="17">
        <f t="shared" si="24"/>
        <v>0</v>
      </c>
      <c r="H103" s="18">
        <f t="shared" si="22"/>
        <v>0</v>
      </c>
      <c r="I103" s="18">
        <f t="shared" si="25"/>
        <v>0</v>
      </c>
    </row>
    <row r="104" spans="2:11" ht="15.75" x14ac:dyDescent="0.25">
      <c r="B104" s="20" t="s">
        <v>34</v>
      </c>
      <c r="C104" s="51">
        <v>63005</v>
      </c>
      <c r="D104" s="17">
        <f t="shared" si="23"/>
        <v>0</v>
      </c>
      <c r="E104" s="17">
        <f t="shared" si="23"/>
        <v>0</v>
      </c>
      <c r="F104" s="17">
        <f t="shared" si="23"/>
        <v>0</v>
      </c>
      <c r="G104" s="17">
        <f t="shared" si="24"/>
        <v>0</v>
      </c>
      <c r="H104" s="18">
        <f t="shared" si="22"/>
        <v>0</v>
      </c>
      <c r="I104" s="18">
        <f t="shared" si="25"/>
        <v>0</v>
      </c>
    </row>
    <row r="105" spans="2:11" ht="15.75" x14ac:dyDescent="0.25">
      <c r="B105" s="20" t="s">
        <v>53</v>
      </c>
      <c r="C105" s="51">
        <v>61110</v>
      </c>
      <c r="D105" s="17">
        <f t="shared" si="23"/>
        <v>0</v>
      </c>
      <c r="E105" s="17">
        <f t="shared" si="23"/>
        <v>0</v>
      </c>
      <c r="F105" s="17">
        <f t="shared" si="23"/>
        <v>0</v>
      </c>
      <c r="G105" s="17">
        <f t="shared" si="24"/>
        <v>0</v>
      </c>
      <c r="H105" s="18">
        <f t="shared" si="22"/>
        <v>0</v>
      </c>
      <c r="I105" s="18">
        <f t="shared" si="25"/>
        <v>0</v>
      </c>
    </row>
    <row r="106" spans="2:11" ht="15.75" x14ac:dyDescent="0.25">
      <c r="B106" s="20" t="s">
        <v>42</v>
      </c>
      <c r="C106" s="51">
        <v>63505</v>
      </c>
      <c r="D106" s="17">
        <f t="shared" si="23"/>
        <v>0</v>
      </c>
      <c r="E106" s="17">
        <f t="shared" si="23"/>
        <v>0</v>
      </c>
      <c r="F106" s="17">
        <f t="shared" si="23"/>
        <v>0</v>
      </c>
      <c r="G106" s="17">
        <f t="shared" si="24"/>
        <v>0</v>
      </c>
      <c r="H106" s="18">
        <f t="shared" si="22"/>
        <v>0</v>
      </c>
      <c r="I106" s="18">
        <f t="shared" si="25"/>
        <v>0</v>
      </c>
    </row>
    <row r="107" spans="2:11" ht="15.75" x14ac:dyDescent="0.25">
      <c r="B107" s="20" t="s">
        <v>43</v>
      </c>
      <c r="C107" s="51">
        <v>63205</v>
      </c>
      <c r="D107" s="17">
        <f t="shared" si="23"/>
        <v>0</v>
      </c>
      <c r="E107" s="17">
        <f t="shared" si="23"/>
        <v>0</v>
      </c>
      <c r="F107" s="17">
        <f t="shared" si="23"/>
        <v>0</v>
      </c>
      <c r="G107" s="17">
        <f t="shared" si="24"/>
        <v>0</v>
      </c>
      <c r="H107" s="18">
        <f t="shared" si="22"/>
        <v>0</v>
      </c>
      <c r="I107" s="18">
        <f t="shared" si="25"/>
        <v>0</v>
      </c>
    </row>
    <row r="108" spans="2:11" ht="15.75" x14ac:dyDescent="0.25">
      <c r="B108" s="20" t="s">
        <v>55</v>
      </c>
      <c r="C108" s="51">
        <v>63015</v>
      </c>
      <c r="D108" s="17">
        <f t="shared" si="23"/>
        <v>0</v>
      </c>
      <c r="E108" s="17">
        <f t="shared" si="23"/>
        <v>0</v>
      </c>
      <c r="F108" s="17">
        <f t="shared" si="23"/>
        <v>0</v>
      </c>
      <c r="G108" s="17">
        <f t="shared" si="24"/>
        <v>0</v>
      </c>
      <c r="H108" s="18">
        <f t="shared" si="22"/>
        <v>0</v>
      </c>
      <c r="I108" s="18">
        <f t="shared" si="25"/>
        <v>0</v>
      </c>
    </row>
    <row r="109" spans="2:11" ht="15.75" x14ac:dyDescent="0.25">
      <c r="B109" s="78" t="s">
        <v>51</v>
      </c>
      <c r="C109" s="79">
        <v>63101</v>
      </c>
      <c r="D109" s="17">
        <f t="shared" si="23"/>
        <v>0</v>
      </c>
      <c r="E109" s="17">
        <f t="shared" si="23"/>
        <v>0</v>
      </c>
      <c r="F109" s="17">
        <f t="shared" si="23"/>
        <v>0</v>
      </c>
      <c r="G109" s="17">
        <f t="shared" si="24"/>
        <v>0</v>
      </c>
      <c r="H109" s="18">
        <f t="shared" si="22"/>
        <v>0</v>
      </c>
      <c r="I109" s="18">
        <f t="shared" si="25"/>
        <v>0</v>
      </c>
    </row>
    <row r="110" spans="2:11" ht="15.75" x14ac:dyDescent="0.25">
      <c r="B110" s="20"/>
      <c r="C110" s="51"/>
      <c r="D110" s="17">
        <f t="shared" si="23"/>
        <v>0</v>
      </c>
      <c r="E110" s="17">
        <f t="shared" si="23"/>
        <v>0</v>
      </c>
      <c r="F110" s="17">
        <f t="shared" si="23"/>
        <v>0</v>
      </c>
      <c r="G110" s="17">
        <f t="shared" si="24"/>
        <v>0</v>
      </c>
      <c r="H110" s="18">
        <f t="shared" si="22"/>
        <v>0</v>
      </c>
      <c r="I110" s="18">
        <f t="shared" si="25"/>
        <v>0</v>
      </c>
    </row>
    <row r="111" spans="2:11" ht="15.75" x14ac:dyDescent="0.25">
      <c r="B111" s="20" t="s">
        <v>27</v>
      </c>
      <c r="C111" s="51"/>
      <c r="D111" s="17">
        <f t="shared" si="23"/>
        <v>0</v>
      </c>
      <c r="E111" s="17">
        <f t="shared" si="23"/>
        <v>0</v>
      </c>
      <c r="F111" s="17">
        <f t="shared" si="23"/>
        <v>0</v>
      </c>
      <c r="G111" s="17">
        <f t="shared" si="24"/>
        <v>0</v>
      </c>
      <c r="H111" s="18">
        <f t="shared" si="22"/>
        <v>0</v>
      </c>
      <c r="I111" s="18">
        <f t="shared" si="25"/>
        <v>0</v>
      </c>
    </row>
    <row r="112" spans="2:11" ht="15.75" x14ac:dyDescent="0.25">
      <c r="B112" s="21" t="s">
        <v>30</v>
      </c>
      <c r="C112" s="52"/>
      <c r="D112" s="17">
        <f t="shared" si="23"/>
        <v>0</v>
      </c>
      <c r="E112" s="17">
        <f t="shared" si="23"/>
        <v>0</v>
      </c>
      <c r="F112" s="17">
        <f t="shared" si="23"/>
        <v>0</v>
      </c>
      <c r="G112" s="17">
        <f t="shared" si="24"/>
        <v>0</v>
      </c>
      <c r="H112" s="22">
        <f>SUM(D112:G112)</f>
        <v>0</v>
      </c>
      <c r="I112" s="22">
        <f t="shared" si="25"/>
        <v>0</v>
      </c>
    </row>
    <row r="113" spans="2:10" ht="15.75" x14ac:dyDescent="0.25">
      <c r="B113" s="16" t="s">
        <v>28</v>
      </c>
      <c r="C113" s="49"/>
      <c r="D113" s="23">
        <f>SUM(D93:D112)</f>
        <v>0</v>
      </c>
      <c r="E113" s="23">
        <f>SUM(E93:E112)</f>
        <v>0</v>
      </c>
      <c r="F113" s="23">
        <f>SUM(F93:F112)</f>
        <v>0</v>
      </c>
      <c r="G113" s="76">
        <f>SUM(G93:G112)</f>
        <v>0</v>
      </c>
      <c r="H113" s="24">
        <f t="shared" ref="H113" si="26">SUM(D113:G113)</f>
        <v>0</v>
      </c>
      <c r="I113" s="24">
        <f>SUM(I93:I112)</f>
        <v>0</v>
      </c>
    </row>
    <row r="114" spans="2:10" x14ac:dyDescent="0.25">
      <c r="I114" s="25">
        <f>I113+H113-P80</f>
        <v>0</v>
      </c>
    </row>
    <row r="116" spans="2:10" x14ac:dyDescent="0.25">
      <c r="J116" s="25">
        <f>I113+H113-P80</f>
        <v>0</v>
      </c>
    </row>
    <row r="119" spans="2:10" x14ac:dyDescent="0.25">
      <c r="J119" s="25"/>
    </row>
  </sheetData>
  <sortState xmlns:xlrd2="http://schemas.microsoft.com/office/spreadsheetml/2017/richdata2" ref="B9:I14">
    <sortCondition descending="1" ref="B9:B14"/>
  </sortState>
  <mergeCells count="81">
    <mergeCell ref="C80:G80"/>
    <mergeCell ref="C17:G17"/>
    <mergeCell ref="C77:G77"/>
    <mergeCell ref="C78:G78"/>
    <mergeCell ref="C19:G19"/>
    <mergeCell ref="C20:G20"/>
    <mergeCell ref="C21:G21"/>
    <mergeCell ref="C22:G22"/>
    <mergeCell ref="C23:G23"/>
    <mergeCell ref="C32:G32"/>
    <mergeCell ref="C33:G33"/>
    <mergeCell ref="C34:G34"/>
    <mergeCell ref="C35:G35"/>
    <mergeCell ref="C76:G76"/>
    <mergeCell ref="C36:G36"/>
    <mergeCell ref="C55:G55"/>
    <mergeCell ref="H4:I4"/>
    <mergeCell ref="F5:G5"/>
    <mergeCell ref="H5:I5"/>
    <mergeCell ref="C7:G7"/>
    <mergeCell ref="C79:G79"/>
    <mergeCell ref="C8:D8"/>
    <mergeCell ref="C4:E4"/>
    <mergeCell ref="C5:E5"/>
    <mergeCell ref="C9:G9"/>
    <mergeCell ref="C10:G10"/>
    <mergeCell ref="F4:G4"/>
    <mergeCell ref="C11:G11"/>
    <mergeCell ref="C12:G12"/>
    <mergeCell ref="C39:G39"/>
    <mergeCell ref="C58:G58"/>
    <mergeCell ref="C59:G59"/>
    <mergeCell ref="M83:N83"/>
    <mergeCell ref="C13:G13"/>
    <mergeCell ref="C14:G14"/>
    <mergeCell ref="C15:G15"/>
    <mergeCell ref="C16:G16"/>
    <mergeCell ref="C18:G18"/>
    <mergeCell ref="C24:G24"/>
    <mergeCell ref="C25:G25"/>
    <mergeCell ref="C26:G26"/>
    <mergeCell ref="C27:G27"/>
    <mergeCell ref="C28:G28"/>
    <mergeCell ref="C29:G29"/>
    <mergeCell ref="C30:G30"/>
    <mergeCell ref="C31:G31"/>
    <mergeCell ref="C37:G37"/>
    <mergeCell ref="C38:G38"/>
    <mergeCell ref="C50:G50"/>
    <mergeCell ref="C51:G51"/>
    <mergeCell ref="C52:G52"/>
    <mergeCell ref="C68:G68"/>
    <mergeCell ref="C69:G69"/>
    <mergeCell ref="C63:G63"/>
    <mergeCell ref="C64:G64"/>
    <mergeCell ref="C65:G65"/>
    <mergeCell ref="C66:G66"/>
    <mergeCell ref="C67:G67"/>
    <mergeCell ref="C56:G56"/>
    <mergeCell ref="C57:G57"/>
    <mergeCell ref="C60:G60"/>
    <mergeCell ref="C61:G61"/>
    <mergeCell ref="C62:G62"/>
    <mergeCell ref="C53:G53"/>
    <mergeCell ref="C45:G45"/>
    <mergeCell ref="C46:G46"/>
    <mergeCell ref="C47:G47"/>
    <mergeCell ref="C48:G48"/>
    <mergeCell ref="C49:G49"/>
    <mergeCell ref="C40:G40"/>
    <mergeCell ref="C41:G41"/>
    <mergeCell ref="C42:G42"/>
    <mergeCell ref="C43:G43"/>
    <mergeCell ref="C44:G44"/>
    <mergeCell ref="C54:G54"/>
    <mergeCell ref="C73:G73"/>
    <mergeCell ref="C74:G74"/>
    <mergeCell ref="C75:G75"/>
    <mergeCell ref="C70:G70"/>
    <mergeCell ref="C71:G71"/>
    <mergeCell ref="C72:G72"/>
  </mergeCells>
  <conditionalFormatting sqref="J116">
    <cfRule type="cellIs" dxfId="1" priority="3" operator="notEqual">
      <formula>0</formula>
    </cfRule>
  </conditionalFormatting>
  <conditionalFormatting sqref="M2">
    <cfRule type="cellIs" dxfId="0" priority="1" operator="lessThan">
      <formula>0</formula>
    </cfRule>
    <cfRule type="cellIs" priority="2" operator="lessThan">
      <formula>0</formula>
    </cfRule>
  </conditionalFormatting>
  <dataValidations xWindow="651" yWindow="562" count="4">
    <dataValidation type="list" allowBlank="1" showInputMessage="1" showErrorMessage="1" sqref="H4:I4" xr:uid="{00000000-0002-0000-0000-000000000000}">
      <formula1>$D$92:$G$92</formula1>
    </dataValidation>
    <dataValidation type="list" allowBlank="1" showInputMessage="1" showErrorMessage="1" error="Please use the dropdown" promptTitle="Depts" prompt="Please choose from the dropdown" sqref="K12:K79" xr:uid="{00000000-0002-0000-0000-000001000000}">
      <formula1>$D$92:$G$92</formula1>
    </dataValidation>
    <dataValidation type="list" allowBlank="1" showInputMessage="1" showErrorMessage="1" sqref="J9:J79" xr:uid="{00000000-0002-0000-0000-000002000000}">
      <formula1>$B$93:$B$112</formula1>
    </dataValidation>
    <dataValidation type="list" allowBlank="1" showInputMessage="1" showErrorMessage="1" error="Please use the dropdown" promptTitle="Depts" prompt="Please choose from the dropdown" sqref="K9:K11" xr:uid="{6D5AB79A-B296-48AB-B805-0831CC0C7244}">
      <formula1>$D$33:$H$33</formula1>
    </dataValidation>
  </dataValidations>
  <pageMargins left="0.70866141732283472" right="0.70866141732283472" top="0.74803149606299213" bottom="0.74803149606299213" header="0.31496062992125984" footer="0.31496062992125984"/>
  <pageSetup scale="32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IFI</vt:lpstr>
      <vt:lpstr>IFG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</dc:creator>
  <cp:lastModifiedBy>Tate Wilson</cp:lastModifiedBy>
  <cp:lastPrinted>2021-12-02T20:06:45Z</cp:lastPrinted>
  <dcterms:created xsi:type="dcterms:W3CDTF">2014-01-20T19:13:40Z</dcterms:created>
  <dcterms:modified xsi:type="dcterms:W3CDTF">2026-03-10T23:07:22Z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{61400854-1673-4A3D-BD04-D8FCE467B72C}</vt:lpwstr>
  </property>
</Properties>
</file>