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inforfg1-my.sharepoint.com/personal/twilson_inforfg_com/Documents/Desktop/Claude - INFOR/infor-workflows/templates/"/>
    </mc:Choice>
  </mc:AlternateContent>
  <xr:revisionPtr revIDLastSave="1" documentId="8_{0848B0FA-4984-42F6-80CF-A7F512337903}" xr6:coauthVersionLast="47" xr6:coauthVersionMax="47" xr10:uidLastSave="{9C0AE8AF-1B8F-4F86-A201-989A4321F926}"/>
  <bookViews>
    <workbookView xWindow="57480" yWindow="-120" windowWidth="29040" windowHeight="15720" firstSheet="1" activeTab="1" xr2:uid="{A6BB75E0-A801-473C-9678-28D65ECCDC5E}"/>
  </bookViews>
  <sheets>
    <sheet name="__snloffice" sheetId="2" state="veryHidden" r:id="rId1"/>
    <sheet name="Sheet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 l="1" a="1"/>
  <c r="L7" i="1"/>
  <c r="Y14" i="1"/>
  <c r="Y13" i="1"/>
  <c r="Y12" i="1"/>
  <c r="Y11" i="1"/>
  <c r="Y10" i="1"/>
  <c r="Y9" i="1"/>
  <c r="Y8" i="1"/>
  <c r="Y7" i="1"/>
  <c r="R5" i="1"/>
  <c r="Q14" i="1"/>
  <c r="Q13" i="1"/>
  <c r="Q12" i="1"/>
  <c r="Q11" i="1"/>
  <c r="Q10" i="1"/>
  <c r="Q9" i="1"/>
  <c r="Q8" i="1"/>
  <c r="Q7" i="1"/>
  <c r="P14" i="1"/>
  <c r="O14" i="1"/>
  <c r="P13" i="1"/>
  <c r="O13" i="1"/>
  <c r="P12" i="1"/>
  <c r="O12" i="1"/>
  <c r="P11" i="1"/>
  <c r="O11" i="1"/>
  <c r="P10" i="1"/>
  <c r="O10" i="1"/>
  <c r="P9" i="1"/>
  <c r="O9" i="1"/>
  <c r="P8" i="1"/>
  <c r="O8" i="1"/>
  <c r="P7" i="1"/>
  <c r="O7" i="1"/>
  <c r="N14" i="1"/>
  <c r="N13" i="1"/>
  <c r="N12" i="1"/>
  <c r="N11" i="1"/>
  <c r="N10" i="1"/>
  <c r="N9" i="1"/>
  <c r="N8" i="1"/>
  <c r="N7" i="1"/>
  <c r="L14" i="1" a="1"/>
  <c r="L14" i="1"/>
  <c r="L13" i="1" a="1"/>
  <c r="R14" i="1" l="1"/>
  <c r="U14" i="1"/>
  <c r="T14" i="1"/>
  <c r="W14" i="1" s="1"/>
  <c r="S14" i="1"/>
  <c r="L13" i="1"/>
  <c r="L12" i="1" a="1"/>
  <c r="V14" i="1" l="1"/>
  <c r="X14" i="1"/>
  <c r="R13" i="1"/>
  <c r="T13" i="1"/>
  <c r="S13" i="1"/>
  <c r="U13" i="1"/>
  <c r="L12" i="1"/>
  <c r="L11" i="1" a="1"/>
  <c r="X13" i="1" l="1"/>
  <c r="V13" i="1"/>
  <c r="W13" i="1"/>
  <c r="R12" i="1"/>
  <c r="U12" i="1"/>
  <c r="T12" i="1"/>
  <c r="S12" i="1"/>
  <c r="L11" i="1"/>
  <c r="L10" i="1" a="1"/>
  <c r="W12" i="1" l="1"/>
  <c r="R11" i="1"/>
  <c r="U11" i="1"/>
  <c r="T11" i="1"/>
  <c r="S11" i="1"/>
  <c r="X12" i="1"/>
  <c r="V12" i="1"/>
  <c r="L10" i="1"/>
  <c r="L9" i="1" a="1"/>
  <c r="R10" i="1" l="1"/>
  <c r="T10" i="1"/>
  <c r="S10" i="1"/>
  <c r="U10" i="1"/>
  <c r="W11" i="1"/>
  <c r="V11" i="1"/>
  <c r="X11" i="1"/>
  <c r="L9" i="1"/>
  <c r="L8" i="1" a="1"/>
  <c r="R9" i="1" l="1"/>
  <c r="U9" i="1"/>
  <c r="T9" i="1"/>
  <c r="S9" i="1"/>
  <c r="V10" i="1"/>
  <c r="X10" i="1"/>
  <c r="W10" i="1"/>
  <c r="U7" i="1"/>
  <c r="T7" i="1"/>
  <c r="S7" i="1"/>
  <c r="R7" i="1"/>
  <c r="L8" i="1"/>
  <c r="R8" i="1" l="1"/>
  <c r="X8" i="1" s="1"/>
  <c r="U8" i="1"/>
  <c r="S8" i="1"/>
  <c r="T8" i="1"/>
  <c r="X9" i="1"/>
  <c r="W9" i="1"/>
  <c r="V9" i="1"/>
  <c r="W7" i="1"/>
  <c r="V7" i="1"/>
  <c r="X7" i="1"/>
  <c r="X16" i="1" s="1"/>
  <c r="R16" i="1" l="1"/>
  <c r="W8" i="1"/>
  <c r="W16" i="1" s="1"/>
  <c r="V8" i="1"/>
  <c r="V1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<sst xmlns="http://schemas.openxmlformats.org/spreadsheetml/2006/main" count="40" uniqueCount="26">
  <si>
    <t>Currency</t>
  </si>
  <si>
    <t>Input</t>
  </si>
  <si>
    <t>Date</t>
  </si>
  <si>
    <t>Target</t>
  </si>
  <si>
    <t>Acquiror</t>
  </si>
  <si>
    <t>Revenue</t>
  </si>
  <si>
    <t>EBITDA</t>
  </si>
  <si>
    <t>AUM</t>
  </si>
  <si>
    <t>CAD</t>
  </si>
  <si>
    <t>Announce</t>
  </si>
  <si>
    <t>HQ</t>
  </si>
  <si>
    <t>TEV</t>
  </si>
  <si>
    <t>FEA</t>
  </si>
  <si>
    <t>TEV /</t>
  </si>
  <si>
    <t xml:space="preserve">Deal </t>
  </si>
  <si>
    <t>Value</t>
  </si>
  <si>
    <t xml:space="preserve">Output Currency: </t>
  </si>
  <si>
    <t>FX</t>
  </si>
  <si>
    <t>Conversion</t>
  </si>
  <si>
    <t xml:space="preserve">TEV </t>
  </si>
  <si>
    <t>/ EBITDA</t>
  </si>
  <si>
    <t>/ Revenue</t>
  </si>
  <si>
    <t>Target Description</t>
  </si>
  <si>
    <t>Description</t>
  </si>
  <si>
    <t>Average</t>
  </si>
  <si>
    <t>允䅁䅁䅣䅁敁䅁䅁睔睂䡁䅑兡療䝁䄴督㙁䍁䅁杔䉂䑁䄰杔䉂䅁䅁杁䅁䉁䅁䅁歁䕁䅍兑䕂䕁䅣村兂䅁䅁䅁䅁䉁䅁䅁歁䕁䅍兑䕂䙁䅕睕䕂䅁䅁睁䅁䉁䄴䅁呂䙁䅁睘兂䙁䅉兓䑂䕁䅕睘䑂䕁䅷睔呂䕁䅕䅁䉁䅁䅁䅏䅁䍁䅍兓佂䙁䅙兑䵂䕁䅫䅒杁䕁䅙兖佂䕁䅍䅖䩂䕁䄸杔杁䙁䅁兑卂䕁䅅兔䙂䙁䅑兒卂䅁䅁兂䅁䉁䅑䅁歁䕁䅍兑䕂䑁䅑李睁䑁䅉睍䅁䅁䅑䅁允䅁䅁䅊䑂䕁䅅䅒䑂䕁䅅䅒䅁䅁䅙䅁䕁䅁䅁䍄䉁䅁䅁兂䅁䅁䅍䅄䅁䅁䅯䅁䅁䅁䅯允䅁䅁䅕䅁䅁佁㑂欵䭁䅁䅉䅁䉁䅁䅁允䅁䅁䅕乱㍔楱圲启䴸䅉䅅䅁䙁䅁䅁睁䵁䅁䅁权䝁䅁䅁权䉁䅁䅁兂䅁䅁䅁䠴浪䅑䅯杁䅁䅁䅅䅁䉁䅁䅁䅆䉁䅁䅁䅁䅁䅁杷允䅁䅁䅕䅁䑁䅁䅷䅁䭁䅁䅍䅁䭁䅁䅅䅁䙁䅁䅁䅁杄佥䅚权䍁䅁䅁允䅁䅁䅅䅁䙁䱁匱楬佇昹⽕䍄䉁䅁䅁兂䅁䅁䅍䅄䅁䅁䅯䅂䅁䅁䅯允䅁䅁䅯䄹䭣䅧䅯杁䅁䅁䅅䅁䉁䅁䅁权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</si>
</sst>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_);\(&quot;$&quot;#,##0.0\);&quot;--&quot;"/>
    <numFmt numFmtId="165" formatCode="#,##0.0%_);\(#,##0.0%\);&quot;--&quot;"/>
    <numFmt numFmtId="166" formatCode="#,##0.0\x_);\(#,##0.0\x\);&quot;--&quot;"/>
    <numFmt numFmtId="167" formatCode="#,##0.0000000\x_);\(#,##0.0000000\x\);&quot;--&quot;"/>
  </numFmts>
  <fonts count="8" x14ac:knownFonts="1">
    <font>
      <sz val="10"/>
      <color theme="1"/>
      <name val="Arial"/>
      <family val="2"/>
    </font>
    <font>
      <sz val="10"/>
      <color theme="1"/>
      <name val="Arial"/>
      <family val="2"/>
    </font>
    <font>
      <sz val="9"/>
      <color theme="1"/>
      <name val="Palatino Linotype"/>
      <family val="1"/>
    </font>
    <font>
      <b/>
      <sz val="9"/>
      <color theme="0"/>
      <name val="Palatino Linotype"/>
      <family val="1"/>
    </font>
    <font>
      <sz val="9"/>
      <color rgb="FF0000FF"/>
      <name val="Palatino Linotype"/>
      <family val="1"/>
    </font>
    <font>
      <b/>
      <sz val="9"/>
      <color rgb="FFFFFFFF"/>
      <name val="Palatino Linotype"/>
      <family val="1"/>
    </font>
    <font>
      <sz val="9"/>
      <color rgb="FF000000"/>
      <name val="Palatino Linotype"/>
      <family val="1"/>
    </font>
    <font>
      <sz val="9"/>
      <name val="Palatino Linotype"/>
      <family val="1"/>
    </font>
  </fonts>
  <fills count="8">
    <fill>
      <patternFill patternType="none"/>
    </fill>
    <fill>
      <patternFill patternType="gray125"/>
    </fill>
    <fill>
      <patternFill patternType="solid">
        <fgColor rgb="FFFFFFCC"/>
      </patternFill>
    </fill>
    <fill>
      <patternFill patternType="solid">
        <fgColor theme="1"/>
        <bgColor indexed="64"/>
      </patternFill>
    </fill>
    <fill>
      <patternFill patternType="solid">
        <fgColor rgb="FF0E213F"/>
        <bgColor rgb="FF000000"/>
      </patternFill>
    </fill>
    <fill>
      <patternFill patternType="solid">
        <fgColor theme="4"/>
        <bgColor indexed="64"/>
      </patternFill>
    </fill>
    <fill>
      <patternFill patternType="solid">
        <fgColor theme="9"/>
        <bgColor indexed="64"/>
      </patternFill>
    </fill>
    <fill>
      <patternFill patternType="solid">
        <fgColor rgb="FFA4844B"/>
        <bgColor rgb="FF000000"/>
      </patternFill>
    </fill>
  </fills>
  <borders count="7">
    <border>
      <left/>
      <right/>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style="thin">
        <color rgb="FFB2B2B2"/>
      </left>
      <right style="medium">
        <color indexed="64"/>
      </right>
      <top style="medium">
        <color indexed="64"/>
      </top>
      <bottom style="medium">
        <color indexed="64"/>
      </bottom>
      <diagonal/>
    </border>
    <border>
      <left/>
      <right/>
      <top style="hair">
        <color rgb="FF000000"/>
      </top>
      <bottom/>
      <diagonal/>
    </border>
    <border>
      <left/>
      <right/>
      <top/>
      <bottom style="hair">
        <color rgb="FF000000"/>
      </bottom>
      <diagonal/>
    </border>
    <border>
      <left/>
      <right/>
      <top style="thin">
        <color rgb="FF000000"/>
      </top>
      <bottom style="thin">
        <color rgb="FF000000"/>
      </bottom>
      <diagonal/>
    </border>
  </borders>
  <cellStyleXfs count="2">
    <xf numFmtId="0" fontId="0" fillId="0" borderId="0"/>
    <xf numFmtId="0" fontId="1" fillId="2" borderId="1" applyNumberFormat="0" applyFont="0" applyAlignment="0" applyProtection="0"/>
  </cellStyleXfs>
  <cellXfs count="36">
    <xf numFmtId="0" fontId="0" fillId="0" borderId="0" xfId="0"/>
    <xf numFmtId="0" fontId="2" fillId="0" borderId="0" xfId="0" applyFont="1"/>
    <xf numFmtId="0" fontId="3" fillId="3" borderId="0" xfId="0" applyFont="1" applyFill="1" applyAlignment="1">
      <alignment horizontal="center"/>
    </xf>
    <xf numFmtId="164" fontId="4" fillId="2" borderId="1" xfId="1" applyNumberFormat="1" applyFont="1" applyAlignment="1">
      <alignment horizontal="center"/>
    </xf>
    <xf numFmtId="0" fontId="4" fillId="2" borderId="1" xfId="1" applyNumberFormat="1" applyFont="1" applyAlignment="1">
      <alignment horizontal="center"/>
    </xf>
    <xf numFmtId="15" fontId="4" fillId="2" borderId="1" xfId="1" applyNumberFormat="1" applyFont="1" applyAlignment="1">
      <alignment horizontal="center"/>
    </xf>
    <xf numFmtId="0" fontId="5" fillId="4" borderId="0" xfId="0" applyFont="1" applyFill="1" applyAlignment="1">
      <alignment horizontal="left" vertical="center"/>
    </xf>
    <xf numFmtId="0" fontId="5" fillId="4" borderId="0" xfId="0" applyFont="1" applyFill="1" applyAlignment="1">
      <alignment horizontal="center" vertical="center" wrapText="1"/>
    </xf>
    <xf numFmtId="0" fontId="5" fillId="4" borderId="0" xfId="0" applyFont="1" applyFill="1" applyAlignment="1">
      <alignment horizontal="center" vertical="center"/>
    </xf>
    <xf numFmtId="0" fontId="5" fillId="4" borderId="0" xfId="0" applyFont="1" applyFill="1" applyAlignment="1">
      <alignment horizontal="left" vertical="center" wrapText="1"/>
    </xf>
    <xf numFmtId="0" fontId="5" fillId="4" borderId="0" xfId="0" applyFont="1" applyFill="1" applyAlignment="1">
      <alignment horizontal="left" vertical="center" indent="1"/>
    </xf>
    <xf numFmtId="0" fontId="5" fillId="5" borderId="0" xfId="0" applyFont="1" applyFill="1" applyAlignment="1">
      <alignment horizontal="center" vertical="center"/>
    </xf>
    <xf numFmtId="0" fontId="2" fillId="0" borderId="2" xfId="0" applyFont="1" applyBorder="1"/>
    <xf numFmtId="0" fontId="2" fillId="2" borderId="3" xfId="1" applyFont="1" applyBorder="1" applyAlignment="1">
      <alignment horizontal="center"/>
    </xf>
    <xf numFmtId="167" fontId="7" fillId="6" borderId="1" xfId="1" applyNumberFormat="1" applyFont="1" applyFill="1" applyAlignment="1">
      <alignment horizontal="center"/>
    </xf>
    <xf numFmtId="0" fontId="5" fillId="5" borderId="0" xfId="0" applyFont="1" applyFill="1" applyAlignment="1">
      <alignment horizontal="left" vertical="center"/>
    </xf>
    <xf numFmtId="15" fontId="6" fillId="0" borderId="4" xfId="0" applyNumberFormat="1" applyFont="1" applyBorder="1" applyAlignment="1">
      <alignment horizontal="left"/>
    </xf>
    <xf numFmtId="0" fontId="6" fillId="0" borderId="4" xfId="0" applyFont="1" applyBorder="1" applyAlignment="1">
      <alignment horizontal="left"/>
    </xf>
    <xf numFmtId="0" fontId="6" fillId="0" borderId="4" xfId="0" applyFont="1" applyBorder="1" applyAlignment="1">
      <alignment horizontal="center"/>
    </xf>
    <xf numFmtId="164" fontId="6" fillId="0" borderId="4" xfId="0" applyNumberFormat="1" applyFont="1" applyBorder="1" applyAlignment="1">
      <alignment horizontal="left"/>
    </xf>
    <xf numFmtId="15" fontId="6" fillId="0" borderId="5" xfId="0" applyNumberFormat="1" applyFont="1" applyBorder="1" applyAlignment="1">
      <alignment horizontal="left"/>
    </xf>
    <xf numFmtId="0" fontId="6" fillId="0" borderId="5" xfId="0" applyFont="1" applyBorder="1" applyAlignment="1">
      <alignment horizontal="left"/>
    </xf>
    <xf numFmtId="0" fontId="6" fillId="0" borderId="5" xfId="0" applyFont="1" applyBorder="1" applyAlignment="1">
      <alignment horizontal="center"/>
    </xf>
    <xf numFmtId="164" fontId="6" fillId="0" borderId="5" xfId="0" applyNumberFormat="1" applyFont="1" applyBorder="1" applyAlignment="1">
      <alignment horizontal="left"/>
    </xf>
    <xf numFmtId="16" fontId="4" fillId="2" borderId="1" xfId="1" applyNumberFormat="1" applyFont="1" applyAlignment="1">
      <alignment horizontal="center"/>
    </xf>
    <xf numFmtId="164" fontId="6" fillId="0" borderId="5" xfId="0" applyNumberFormat="1" applyFont="1" applyBorder="1" applyAlignment="1">
      <alignment horizontal="right"/>
    </xf>
    <xf numFmtId="164" fontId="6" fillId="0" borderId="4" xfId="0" applyNumberFormat="1" applyFont="1" applyBorder="1" applyAlignment="1">
      <alignment horizontal="right"/>
    </xf>
    <xf numFmtId="165" fontId="2" fillId="0" borderId="5" xfId="0" applyNumberFormat="1" applyFont="1" applyBorder="1" applyAlignment="1">
      <alignment horizontal="right"/>
    </xf>
    <xf numFmtId="165" fontId="2" fillId="0" borderId="4" xfId="0" applyNumberFormat="1" applyFont="1" applyBorder="1" applyAlignment="1">
      <alignment horizontal="right"/>
    </xf>
    <xf numFmtId="166" fontId="2" fillId="0" borderId="5" xfId="0" applyNumberFormat="1" applyFont="1" applyBorder="1" applyAlignment="1">
      <alignment horizontal="right"/>
    </xf>
    <xf numFmtId="166" fontId="2" fillId="0" borderId="4" xfId="0" applyNumberFormat="1" applyFont="1" applyBorder="1" applyAlignment="1">
      <alignment horizontal="right"/>
    </xf>
    <xf numFmtId="0" fontId="5" fillId="7" borderId="6" xfId="0" applyFont="1" applyFill="1" applyBorder="1"/>
    <xf numFmtId="164" fontId="5" fillId="7" borderId="6" xfId="0" applyNumberFormat="1" applyFont="1" applyFill="1" applyBorder="1" applyAlignment="1">
      <alignment horizontal="right"/>
    </xf>
    <xf numFmtId="164" fontId="5" fillId="7" borderId="6" xfId="0" applyNumberFormat="1" applyFont="1" applyFill="1" applyBorder="1"/>
    <xf numFmtId="166" fontId="5" fillId="7" borderId="6" xfId="0" applyNumberFormat="1" applyFont="1" applyFill="1" applyBorder="1" applyAlignment="1">
      <alignment horizontal="right"/>
    </xf>
    <xf numFmtId="165" fontId="5" fillId="7" borderId="6" xfId="0" applyNumberFormat="1" applyFont="1" applyFill="1" applyBorder="1" applyAlignment="1">
      <alignment horizontal="right"/>
    </xf>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INFORFG">
  <a:themeElements>
    <a:clrScheme name="INFOR (New)">
      <a:dk1>
        <a:sysClr val="windowText" lastClr="000000"/>
      </a:dk1>
      <a:lt1>
        <a:sysClr val="window" lastClr="FFFFFF"/>
      </a:lt1>
      <a:dk2>
        <a:srgbClr val="000000"/>
      </a:dk2>
      <a:lt2>
        <a:srgbClr val="FFFFFF"/>
      </a:lt2>
      <a:accent1>
        <a:srgbClr val="0E213F"/>
      </a:accent1>
      <a:accent2>
        <a:srgbClr val="46566E"/>
      </a:accent2>
      <a:accent3>
        <a:srgbClr val="ADB9CA"/>
      </a:accent3>
      <a:accent4>
        <a:srgbClr val="A4844B"/>
      </a:accent4>
      <a:accent5>
        <a:srgbClr val="767171"/>
      </a:accent5>
      <a:accent6>
        <a:srgbClr val="E5E3E3"/>
      </a:accent6>
      <a:hlink>
        <a:srgbClr val="800000"/>
      </a:hlink>
      <a:folHlink>
        <a:srgbClr val="33330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1E60-C986-4D1C-87A4-3116A6CEE89C}">
  <dimension ref="A1"/>
  <sheetViews>
    <sheetView workbookViewId="0"/>
  </sheetViews>
  <sheetFormatPr defaultRowHeight="12.75" x14ac:dyDescent="0.2"/>
  <sheetData>
    <row r="1" spans="1:1" x14ac:dyDescent="0.2">
      <c r="A1"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93AFD-E288-4A4B-BF10-AB57948F458E}">
  <dimension ref="B1:Y16"/>
  <sheetViews>
    <sheetView showGridLines="0" tabSelected="1" topLeftCell="E1" workbookViewId="0">
      <selection activeCell="M16" sqref="M16"/>
    </sheetView>
  </sheetViews>
  <sheetFormatPr defaultRowHeight="14.25" outlineLevelCol="1" x14ac:dyDescent="0.3"/>
  <cols>
    <col min="1" max="1" width="2.7109375" style="1" customWidth="1"/>
    <col min="2" max="10" width="10.7109375" style="1" customWidth="1" outlineLevel="1"/>
    <col min="11" max="11" width="50.7109375" style="1" customWidth="1" outlineLevel="1"/>
    <col min="12" max="12" width="10.7109375" style="1" customWidth="1" outlineLevel="1"/>
    <col min="13" max="13" width="2.7109375" style="1" customWidth="1" outlineLevel="1"/>
    <col min="14" max="14" width="9.5703125" style="1" customWidth="1"/>
    <col min="15" max="16" width="26.140625" style="1" customWidth="1"/>
    <col min="17" max="17" width="7.5703125" style="1" customWidth="1"/>
    <col min="18" max="18" width="10.7109375" style="1" customWidth="1"/>
    <col min="19" max="21" width="10.7109375" style="1" hidden="1" customWidth="1" outlineLevel="1"/>
    <col min="22" max="22" width="10.7109375" style="1" customWidth="1" collapsed="1"/>
    <col min="23" max="24" width="10.7109375" style="1" customWidth="1"/>
    <col min="25" max="25" width="50.7109375" style="1" customWidth="1"/>
    <col min="26" max="16384" width="9.140625" style="1"/>
  </cols>
  <sheetData>
    <row r="1" spans="2:25" ht="15" thickBot="1" x14ac:dyDescent="0.35"/>
    <row r="2" spans="2:25" ht="15" thickBot="1" x14ac:dyDescent="0.35">
      <c r="P2" s="12" t="s">
        <v>16</v>
      </c>
      <c r="Q2" s="13" t="s">
        <v>8</v>
      </c>
    </row>
    <row r="4" spans="2:25" x14ac:dyDescent="0.3">
      <c r="B4" s="2" t="s">
        <v>1</v>
      </c>
      <c r="C4" s="2" t="s">
        <v>9</v>
      </c>
      <c r="D4" s="2"/>
      <c r="E4" s="2"/>
      <c r="F4" s="2" t="s">
        <v>14</v>
      </c>
      <c r="G4" s="2" t="s">
        <v>3</v>
      </c>
      <c r="H4" s="2" t="s">
        <v>3</v>
      </c>
      <c r="I4" s="2" t="s">
        <v>3</v>
      </c>
      <c r="J4" s="2" t="s">
        <v>3</v>
      </c>
      <c r="K4" s="2" t="s">
        <v>3</v>
      </c>
      <c r="L4" s="2" t="s">
        <v>17</v>
      </c>
      <c r="N4" s="6" t="s">
        <v>9</v>
      </c>
      <c r="O4" s="7"/>
      <c r="P4" s="8"/>
      <c r="Q4" s="8"/>
      <c r="R4" s="11" t="s">
        <v>11</v>
      </c>
      <c r="S4" s="11"/>
      <c r="T4" s="11"/>
      <c r="U4" s="11"/>
      <c r="V4" s="11" t="s">
        <v>19</v>
      </c>
      <c r="W4" s="11" t="s">
        <v>19</v>
      </c>
      <c r="X4" s="11" t="s">
        <v>13</v>
      </c>
      <c r="Y4" s="11"/>
    </row>
    <row r="5" spans="2:25" x14ac:dyDescent="0.3">
      <c r="B5" s="2" t="s">
        <v>0</v>
      </c>
      <c r="C5" s="2" t="s">
        <v>2</v>
      </c>
      <c r="D5" s="2" t="s">
        <v>3</v>
      </c>
      <c r="E5" s="2" t="s">
        <v>4</v>
      </c>
      <c r="F5" s="2" t="s">
        <v>15</v>
      </c>
      <c r="G5" s="2" t="s">
        <v>10</v>
      </c>
      <c r="H5" s="2" t="s">
        <v>5</v>
      </c>
      <c r="I5" s="2" t="s">
        <v>6</v>
      </c>
      <c r="J5" s="2" t="s">
        <v>7</v>
      </c>
      <c r="K5" s="2" t="s">
        <v>23</v>
      </c>
      <c r="L5" s="2" t="s">
        <v>18</v>
      </c>
      <c r="N5" s="6" t="s">
        <v>2</v>
      </c>
      <c r="O5" s="9" t="s">
        <v>3</v>
      </c>
      <c r="P5" s="10" t="s">
        <v>4</v>
      </c>
      <c r="Q5" s="8" t="s">
        <v>10</v>
      </c>
      <c r="R5" s="11" t="str">
        <f>IF($Q$2="CAD", "(C$MM)", "(US$MM)")</f>
        <v>(C$MM)</v>
      </c>
      <c r="S5" s="11" t="s">
        <v>6</v>
      </c>
      <c r="T5" s="11" t="s">
        <v>5</v>
      </c>
      <c r="U5" s="11" t="s">
        <v>12</v>
      </c>
      <c r="V5" s="11" t="s">
        <v>20</v>
      </c>
      <c r="W5" s="11" t="s">
        <v>21</v>
      </c>
      <c r="X5" s="11" t="s">
        <v>12</v>
      </c>
      <c r="Y5" s="15" t="s">
        <v>22</v>
      </c>
    </row>
    <row r="6" spans="2:25" customFormat="1" ht="3" customHeight="1" x14ac:dyDescent="0.2"/>
    <row r="7" spans="2:25" x14ac:dyDescent="0.3">
      <c r="B7" s="24"/>
      <c r="C7" s="5"/>
      <c r="D7" s="4"/>
      <c r="E7" s="4"/>
      <c r="F7" s="3"/>
      <c r="G7" s="4"/>
      <c r="H7" s="3"/>
      <c r="I7" s="3"/>
      <c r="J7" s="3"/>
      <c r="K7" s="3"/>
      <c r="L7" s="14" t="str" cm="1">
        <f t="array" ref="L7">_xll.SNL.Clients.Office.Excel.Functions.SPG("$"&amp;$Q$2&amp;$B7,"SP_PRICE_CLOSE",WORKDAY($C$7+1,-1),"Options: NA=NA")</f>
        <v>#PEND</v>
      </c>
      <c r="N7" s="20">
        <f>+C7</f>
        <v>0</v>
      </c>
      <c r="O7" s="21">
        <f>+D7</f>
        <v>0</v>
      </c>
      <c r="P7" s="21">
        <f>+E7</f>
        <v>0</v>
      </c>
      <c r="Q7" s="22">
        <f>+G7</f>
        <v>0</v>
      </c>
      <c r="R7" s="25" t="str">
        <f>IFERROR(L7*F7,"n/a ")</f>
        <v xml:space="preserve">n/a </v>
      </c>
      <c r="S7" s="25" t="str">
        <f>IFERROR(L7*I7,"n/a ")</f>
        <v xml:space="preserve">n/a </v>
      </c>
      <c r="T7" s="25" t="str">
        <f>IFERROR(L7*H7,"n/a ")</f>
        <v xml:space="preserve">n/a </v>
      </c>
      <c r="U7" s="25" t="str">
        <f>IFERROR(L7*J7,"n/a ")</f>
        <v xml:space="preserve">n/a </v>
      </c>
      <c r="V7" s="29" t="str">
        <f>IFERROR($R7/S7,"n/a ")</f>
        <v xml:space="preserve">n/a </v>
      </c>
      <c r="W7" s="29" t="str">
        <f>IFERROR($R7/T7,"n/a ")</f>
        <v xml:space="preserve">n/a </v>
      </c>
      <c r="X7" s="27" t="str">
        <f>IFERROR($R7/U7,"n/a ")</f>
        <v xml:space="preserve">n/a </v>
      </c>
      <c r="Y7" s="23">
        <f>+K7</f>
        <v>0</v>
      </c>
    </row>
    <row r="8" spans="2:25" x14ac:dyDescent="0.3">
      <c r="B8" s="4"/>
      <c r="C8" s="5"/>
      <c r="D8" s="4"/>
      <c r="E8" s="4"/>
      <c r="F8" s="3"/>
      <c r="G8" s="4"/>
      <c r="H8" s="3"/>
      <c r="I8" s="3"/>
      <c r="J8" s="3"/>
      <c r="K8" s="3"/>
      <c r="L8" s="14" t="str" cm="1">
        <f t="array" ref="L8">_xll.SNL.Clients.Office.Excel.Functions.SPG("$"&amp;$Q$2&amp;$B8,"SP_PRICE_CLOSE",WORKDAY($C$7+1,-1),"Options: NA=NA")</f>
        <v>#PEND</v>
      </c>
      <c r="N8" s="16">
        <f t="shared" ref="N8:N14" si="0">+C8</f>
        <v>0</v>
      </c>
      <c r="O8" s="17">
        <f t="shared" ref="O8:O14" si="1">+D8</f>
        <v>0</v>
      </c>
      <c r="P8" s="17">
        <f t="shared" ref="P8:P14" si="2">+E8</f>
        <v>0</v>
      </c>
      <c r="Q8" s="18">
        <f t="shared" ref="Q8:Q14" si="3">+G8</f>
        <v>0</v>
      </c>
      <c r="R8" s="26" t="str">
        <f t="shared" ref="R8:R14" si="4">IFERROR(L8*F8,"n/a ")</f>
        <v xml:space="preserve">n/a </v>
      </c>
      <c r="S8" s="26" t="str">
        <f t="shared" ref="S8:S14" si="5">IFERROR(L8*I8,"n/a ")</f>
        <v xml:space="preserve">n/a </v>
      </c>
      <c r="T8" s="26" t="str">
        <f t="shared" ref="T8:T14" si="6">IFERROR(L8*H8,"n/a ")</f>
        <v xml:space="preserve">n/a </v>
      </c>
      <c r="U8" s="26" t="str">
        <f t="shared" ref="U8:U14" si="7">IFERROR(L8*J8,"n/a ")</f>
        <v xml:space="preserve">n/a </v>
      </c>
      <c r="V8" s="30" t="str">
        <f t="shared" ref="V8:V14" si="8">IFERROR($R8/S8,"n/a ")</f>
        <v xml:space="preserve">n/a </v>
      </c>
      <c r="W8" s="30" t="str">
        <f t="shared" ref="W8:W14" si="9">IFERROR($R8/T8,"n/a ")</f>
        <v xml:space="preserve">n/a </v>
      </c>
      <c r="X8" s="28" t="str">
        <f t="shared" ref="X8:X14" si="10">IFERROR($R8/U8,"n/a ")</f>
        <v xml:space="preserve">n/a </v>
      </c>
      <c r="Y8" s="19">
        <f t="shared" ref="Y8:Y14" si="11">+K8</f>
        <v>0</v>
      </c>
    </row>
    <row r="9" spans="2:25" x14ac:dyDescent="0.3">
      <c r="B9" s="4"/>
      <c r="C9" s="5"/>
      <c r="D9" s="4"/>
      <c r="E9" s="4"/>
      <c r="F9" s="3"/>
      <c r="G9" s="4"/>
      <c r="H9" s="3"/>
      <c r="I9" s="3"/>
      <c r="J9" s="3"/>
      <c r="K9" s="3"/>
      <c r="L9" s="14" t="str" cm="1">
        <f t="array" ref="L9">_xll.SNL.Clients.Office.Excel.Functions.SPG("$"&amp;$Q$2&amp;$B9,"SP_PRICE_CLOSE",WORKDAY($C$7+1,-1),"Options: NA=NA")</f>
        <v>#PEND</v>
      </c>
      <c r="N9" s="16">
        <f t="shared" si="0"/>
        <v>0</v>
      </c>
      <c r="O9" s="17">
        <f t="shared" si="1"/>
        <v>0</v>
      </c>
      <c r="P9" s="17">
        <f t="shared" si="2"/>
        <v>0</v>
      </c>
      <c r="Q9" s="18">
        <f t="shared" si="3"/>
        <v>0</v>
      </c>
      <c r="R9" s="26" t="str">
        <f t="shared" si="4"/>
        <v xml:space="preserve">n/a </v>
      </c>
      <c r="S9" s="26" t="str">
        <f t="shared" si="5"/>
        <v xml:space="preserve">n/a </v>
      </c>
      <c r="T9" s="26" t="str">
        <f t="shared" si="6"/>
        <v xml:space="preserve">n/a </v>
      </c>
      <c r="U9" s="26" t="str">
        <f t="shared" si="7"/>
        <v xml:space="preserve">n/a </v>
      </c>
      <c r="V9" s="30" t="str">
        <f t="shared" si="8"/>
        <v xml:space="preserve">n/a </v>
      </c>
      <c r="W9" s="30" t="str">
        <f t="shared" si="9"/>
        <v xml:space="preserve">n/a </v>
      </c>
      <c r="X9" s="28" t="str">
        <f t="shared" si="10"/>
        <v xml:space="preserve">n/a </v>
      </c>
      <c r="Y9" s="19">
        <f t="shared" si="11"/>
        <v>0</v>
      </c>
    </row>
    <row r="10" spans="2:25" x14ac:dyDescent="0.3">
      <c r="B10" s="4"/>
      <c r="C10" s="5"/>
      <c r="D10" s="4"/>
      <c r="E10" s="4"/>
      <c r="F10" s="3"/>
      <c r="G10" s="4"/>
      <c r="H10" s="3"/>
      <c r="I10" s="3"/>
      <c r="J10" s="3"/>
      <c r="K10" s="3"/>
      <c r="L10" s="14" t="str" cm="1">
        <f t="array" ref="L10">_xll.SNL.Clients.Office.Excel.Functions.SPG("$"&amp;$Q$2&amp;$B10,"SP_PRICE_CLOSE",WORKDAY($C$7+1,-1),"Options: NA=NA")</f>
        <v>#PEND</v>
      </c>
      <c r="N10" s="16">
        <f t="shared" si="0"/>
        <v>0</v>
      </c>
      <c r="O10" s="17">
        <f t="shared" si="1"/>
        <v>0</v>
      </c>
      <c r="P10" s="17">
        <f t="shared" si="2"/>
        <v>0</v>
      </c>
      <c r="Q10" s="18">
        <f t="shared" si="3"/>
        <v>0</v>
      </c>
      <c r="R10" s="26" t="str">
        <f t="shared" si="4"/>
        <v xml:space="preserve">n/a </v>
      </c>
      <c r="S10" s="26" t="str">
        <f t="shared" si="5"/>
        <v xml:space="preserve">n/a </v>
      </c>
      <c r="T10" s="26" t="str">
        <f t="shared" si="6"/>
        <v xml:space="preserve">n/a </v>
      </c>
      <c r="U10" s="26" t="str">
        <f t="shared" si="7"/>
        <v xml:space="preserve">n/a </v>
      </c>
      <c r="V10" s="30" t="str">
        <f t="shared" si="8"/>
        <v xml:space="preserve">n/a </v>
      </c>
      <c r="W10" s="30" t="str">
        <f t="shared" si="9"/>
        <v xml:space="preserve">n/a </v>
      </c>
      <c r="X10" s="28" t="str">
        <f t="shared" si="10"/>
        <v xml:space="preserve">n/a </v>
      </c>
      <c r="Y10" s="19">
        <f t="shared" si="11"/>
        <v>0</v>
      </c>
    </row>
    <row r="11" spans="2:25" x14ac:dyDescent="0.3">
      <c r="B11" s="4"/>
      <c r="C11" s="5"/>
      <c r="D11" s="4"/>
      <c r="E11" s="4"/>
      <c r="F11" s="3"/>
      <c r="G11" s="4"/>
      <c r="H11" s="3"/>
      <c r="I11" s="3"/>
      <c r="J11" s="3"/>
      <c r="K11" s="3"/>
      <c r="L11" s="14" t="str" cm="1">
        <f t="array" ref="L11">_xll.SNL.Clients.Office.Excel.Functions.SPG("$"&amp;$Q$2&amp;$B11,"SP_PRICE_CLOSE",WORKDAY($C$7+1,-1),"Options: NA=NA")</f>
        <v>#PEND</v>
      </c>
      <c r="N11" s="16">
        <f t="shared" si="0"/>
        <v>0</v>
      </c>
      <c r="O11" s="17">
        <f t="shared" si="1"/>
        <v>0</v>
      </c>
      <c r="P11" s="17">
        <f t="shared" si="2"/>
        <v>0</v>
      </c>
      <c r="Q11" s="18">
        <f t="shared" si="3"/>
        <v>0</v>
      </c>
      <c r="R11" s="26" t="str">
        <f t="shared" si="4"/>
        <v xml:space="preserve">n/a </v>
      </c>
      <c r="S11" s="26" t="str">
        <f t="shared" si="5"/>
        <v xml:space="preserve">n/a </v>
      </c>
      <c r="T11" s="26" t="str">
        <f t="shared" si="6"/>
        <v xml:space="preserve">n/a </v>
      </c>
      <c r="U11" s="26" t="str">
        <f t="shared" si="7"/>
        <v xml:space="preserve">n/a </v>
      </c>
      <c r="V11" s="30" t="str">
        <f t="shared" si="8"/>
        <v xml:space="preserve">n/a </v>
      </c>
      <c r="W11" s="30" t="str">
        <f t="shared" si="9"/>
        <v xml:space="preserve">n/a </v>
      </c>
      <c r="X11" s="28" t="str">
        <f t="shared" si="10"/>
        <v xml:space="preserve">n/a </v>
      </c>
      <c r="Y11" s="19">
        <f t="shared" si="11"/>
        <v>0</v>
      </c>
    </row>
    <row r="12" spans="2:25" x14ac:dyDescent="0.3">
      <c r="B12" s="4"/>
      <c r="C12" s="5"/>
      <c r="D12" s="4"/>
      <c r="E12" s="4"/>
      <c r="F12" s="3"/>
      <c r="G12" s="4"/>
      <c r="H12" s="3"/>
      <c r="I12" s="3"/>
      <c r="J12" s="3"/>
      <c r="K12" s="3"/>
      <c r="L12" s="14" t="str" cm="1">
        <f t="array" ref="L12">_xll.SNL.Clients.Office.Excel.Functions.SPG("$"&amp;$Q$2&amp;$B12,"SP_PRICE_CLOSE",WORKDAY($C$7+1,-1),"Options: NA=NA")</f>
        <v>#PEND</v>
      </c>
      <c r="N12" s="16">
        <f t="shared" si="0"/>
        <v>0</v>
      </c>
      <c r="O12" s="17">
        <f t="shared" si="1"/>
        <v>0</v>
      </c>
      <c r="P12" s="17">
        <f t="shared" si="2"/>
        <v>0</v>
      </c>
      <c r="Q12" s="18">
        <f t="shared" si="3"/>
        <v>0</v>
      </c>
      <c r="R12" s="26" t="str">
        <f t="shared" si="4"/>
        <v xml:space="preserve">n/a </v>
      </c>
      <c r="S12" s="26" t="str">
        <f t="shared" si="5"/>
        <v xml:space="preserve">n/a </v>
      </c>
      <c r="T12" s="26" t="str">
        <f t="shared" si="6"/>
        <v xml:space="preserve">n/a </v>
      </c>
      <c r="U12" s="26" t="str">
        <f t="shared" si="7"/>
        <v xml:space="preserve">n/a </v>
      </c>
      <c r="V12" s="30" t="str">
        <f t="shared" si="8"/>
        <v xml:space="preserve">n/a </v>
      </c>
      <c r="W12" s="30" t="str">
        <f t="shared" si="9"/>
        <v xml:space="preserve">n/a </v>
      </c>
      <c r="X12" s="28" t="str">
        <f t="shared" si="10"/>
        <v xml:space="preserve">n/a </v>
      </c>
      <c r="Y12" s="19">
        <f t="shared" si="11"/>
        <v>0</v>
      </c>
    </row>
    <row r="13" spans="2:25" x14ac:dyDescent="0.3">
      <c r="B13" s="4"/>
      <c r="C13" s="5"/>
      <c r="D13" s="4"/>
      <c r="E13" s="4"/>
      <c r="F13" s="3"/>
      <c r="G13" s="4"/>
      <c r="H13" s="3"/>
      <c r="I13" s="3"/>
      <c r="J13" s="3"/>
      <c r="K13" s="3"/>
      <c r="L13" s="14" t="str" cm="1">
        <f t="array" ref="L13">_xll.SNL.Clients.Office.Excel.Functions.SPG("$"&amp;$Q$2&amp;$B13,"SP_PRICE_CLOSE",WORKDAY($C$7+1,-1),"Options: NA=NA")</f>
        <v>#PEND</v>
      </c>
      <c r="N13" s="16">
        <f t="shared" si="0"/>
        <v>0</v>
      </c>
      <c r="O13" s="17">
        <f t="shared" si="1"/>
        <v>0</v>
      </c>
      <c r="P13" s="17">
        <f t="shared" si="2"/>
        <v>0</v>
      </c>
      <c r="Q13" s="18">
        <f t="shared" si="3"/>
        <v>0</v>
      </c>
      <c r="R13" s="26" t="str">
        <f t="shared" si="4"/>
        <v xml:space="preserve">n/a </v>
      </c>
      <c r="S13" s="26" t="str">
        <f t="shared" si="5"/>
        <v xml:space="preserve">n/a </v>
      </c>
      <c r="T13" s="26" t="str">
        <f t="shared" si="6"/>
        <v xml:space="preserve">n/a </v>
      </c>
      <c r="U13" s="26" t="str">
        <f t="shared" si="7"/>
        <v xml:space="preserve">n/a </v>
      </c>
      <c r="V13" s="30" t="str">
        <f t="shared" si="8"/>
        <v xml:space="preserve">n/a </v>
      </c>
      <c r="W13" s="30" t="str">
        <f t="shared" si="9"/>
        <v xml:space="preserve">n/a </v>
      </c>
      <c r="X13" s="28" t="str">
        <f t="shared" si="10"/>
        <v xml:space="preserve">n/a </v>
      </c>
      <c r="Y13" s="19">
        <f t="shared" si="11"/>
        <v>0</v>
      </c>
    </row>
    <row r="14" spans="2:25" x14ac:dyDescent="0.3">
      <c r="B14" s="4"/>
      <c r="C14" s="5"/>
      <c r="D14" s="4"/>
      <c r="E14" s="4"/>
      <c r="F14" s="3"/>
      <c r="G14" s="4"/>
      <c r="H14" s="3"/>
      <c r="I14" s="3"/>
      <c r="J14" s="3"/>
      <c r="K14" s="3"/>
      <c r="L14" s="14" t="str" cm="1">
        <f t="array" ref="L14">_xll.SNL.Clients.Office.Excel.Functions.SPG("$"&amp;$Q$2&amp;$B14,"SP_PRICE_CLOSE",WORKDAY($C$7+1,-1),"Options: NA=NA")</f>
        <v>#PEND</v>
      </c>
      <c r="N14" s="16">
        <f t="shared" si="0"/>
        <v>0</v>
      </c>
      <c r="O14" s="17">
        <f t="shared" si="1"/>
        <v>0</v>
      </c>
      <c r="P14" s="17">
        <f t="shared" si="2"/>
        <v>0</v>
      </c>
      <c r="Q14" s="18">
        <f t="shared" si="3"/>
        <v>0</v>
      </c>
      <c r="R14" s="26" t="str">
        <f t="shared" si="4"/>
        <v xml:space="preserve">n/a </v>
      </c>
      <c r="S14" s="26" t="str">
        <f t="shared" si="5"/>
        <v xml:space="preserve">n/a </v>
      </c>
      <c r="T14" s="26" t="str">
        <f t="shared" si="6"/>
        <v xml:space="preserve">n/a </v>
      </c>
      <c r="U14" s="26" t="str">
        <f t="shared" si="7"/>
        <v xml:space="preserve">n/a </v>
      </c>
      <c r="V14" s="30" t="str">
        <f t="shared" si="8"/>
        <v xml:space="preserve">n/a </v>
      </c>
      <c r="W14" s="30" t="str">
        <f t="shared" si="9"/>
        <v xml:space="preserve">n/a </v>
      </c>
      <c r="X14" s="28" t="str">
        <f t="shared" si="10"/>
        <v xml:space="preserve">n/a </v>
      </c>
      <c r="Y14" s="19">
        <f t="shared" si="11"/>
        <v>0</v>
      </c>
    </row>
    <row r="15" spans="2:25" ht="3" customHeight="1" x14ac:dyDescent="0.3"/>
    <row r="16" spans="2:25" ht="14.25" customHeight="1" x14ac:dyDescent="0.3">
      <c r="N16" s="31" t="s">
        <v>24</v>
      </c>
      <c r="O16" s="31"/>
      <c r="P16" s="31"/>
      <c r="Q16" s="31"/>
      <c r="R16" s="32" t="str">
        <f>IFERROR(AVERAGE(R7:R14),"n/a ")</f>
        <v xml:space="preserve">n/a </v>
      </c>
      <c r="S16" s="33"/>
      <c r="T16" s="33"/>
      <c r="U16" s="33"/>
      <c r="V16" s="34" t="str">
        <f>IFERROR(AVERAGE(V7:V14),"n/a ")</f>
        <v xml:space="preserve">n/a </v>
      </c>
      <c r="W16" s="34" t="str">
        <f>IFERROR(AVERAGE(W7:W14),"n/a ")</f>
        <v xml:space="preserve">n/a </v>
      </c>
      <c r="X16" s="35" t="str">
        <f>IFERROR(AVERAGE(X7:X14),"n/a ")</f>
        <v xml:space="preserve">n/a </v>
      </c>
      <c r="Y16" s="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Tate Wilson</dc:creator>
  <cp:lastModifiedBy>Tate Wilson</cp:lastModifiedBy>
  <dcterms:created xsi:type="dcterms:W3CDTF">2026-03-26T17:29:02Z</dcterms:created>
  <dcterms:modified xsi:type="dcterms:W3CDTF">2026-03-26T18:34:44Z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{45D58B0F-6D11-4F7B-8790-F3F47AD74BE7}</vt:lpwstr>
  </property>
</Properties>
</file>